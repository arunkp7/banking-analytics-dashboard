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\Desktop\banking-analytics\data\"/>
    </mc:Choice>
  </mc:AlternateContent>
  <xr:revisionPtr revIDLastSave="0" documentId="13_ncr:1_{98D0774B-FA20-442A-BCF2-8C3383258217}" xr6:coauthVersionLast="47" xr6:coauthVersionMax="47" xr10:uidLastSave="{00000000-0000-0000-0000-000000000000}"/>
  <bookViews>
    <workbookView xWindow="-108" yWindow="-108" windowWidth="23256" windowHeight="12456" xr2:uid="{5830CBEA-E1F7-4E42-B107-F3CF1BE1CB03}"/>
  </bookViews>
  <sheets>
    <sheet name="Loan_Data" sheetId="1" r:id="rId1"/>
    <sheet name="Data_Quality" sheetId="2" r:id="rId2"/>
    <sheet name="KPIs" sheetId="3" r:id="rId3"/>
    <sheet name="Pivot_Analysis" sheetId="4" r:id="rId4"/>
  </sheet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 a="1"/>
  <c r="B8" i="3" s="1"/>
  <c r="B7" i="3" a="1"/>
  <c r="B7" i="3" s="1"/>
  <c r="B6" i="3" a="1"/>
  <c r="B6" i="3" s="1"/>
  <c r="B5" i="3" a="1"/>
  <c r="B5" i="3" s="1"/>
  <c r="B4" i="3" a="1"/>
  <c r="B4" i="3"/>
  <c r="B3" i="3" a="1"/>
  <c r="B3" i="3" s="1"/>
  <c r="B2" i="3" a="1"/>
  <c r="B2" i="3" s="1"/>
  <c r="B1" i="3" a="1"/>
  <c r="B1" i="3"/>
  <c r="D3" i="2" a="1"/>
  <c r="D3" i="2" s="1"/>
  <c r="D2" i="2" a="1"/>
  <c r="D2" i="2" s="1"/>
  <c r="D1" i="2" a="1"/>
  <c r="D1" i="2" s="1"/>
  <c r="C3" i="2" a="1"/>
  <c r="C3" i="2" s="1"/>
  <c r="C2" i="2" a="1"/>
  <c r="C2" i="2" s="1"/>
  <c r="C1" i="2" a="1"/>
  <c r="C1" i="2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2" i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2" i="1"/>
  <c r="O2" i="1" s="1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<sst xmlns="http://schemas.openxmlformats.org/spreadsheetml/2006/main" count="4388" uniqueCount="661">
  <si>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</si>
  <si>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</si>
  <si>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</si>
  <si>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</si>
  <si>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</si>
  <si>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</si>
  <si>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</si>
  <si>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</si>
  <si>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</si>
  <si>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</si>
  <si>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</si>
  <si>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</si>
  <si>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</si>
  <si>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</si>
  <si>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</si>
  <si>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</si>
  <si>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</si>
  <si>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</si>
  <si>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</si>
  <si>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</si>
  <si>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</si>
  <si>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</si>
  <si>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</si>
  <si>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</si>
  <si>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</si>
  <si>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</si>
  <si>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</si>
  <si>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</si>
  <si>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</si>
  <si>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</si>
  <si>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</si>
  <si>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</si>
  <si>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</si>
  <si>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</si>
  <si>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</si>
  <si>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</si>
  <si>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</si>
  <si>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</si>
  <si>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</si>
  <si>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</si>
  <si>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</si>
  <si>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</si>
  <si>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</si>
  <si>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</si>
  <si>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</si>
  <si>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</si>
  <si>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</si>
  <si>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</si>
  <si>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</si>
  <si>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</si>
  <si>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</si>
  <si>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</si>
  <si>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</si>
  <si>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</si>
  <si>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</si>
  <si>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</si>
  <si>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</si>
  <si>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</si>
  <si>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</si>
  <si>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</si>
  <si>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</si>
  <si>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</si>
  <si>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</si>
  <si>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</si>
  <si>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</si>
  <si>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</si>
  <si>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</si>
  <si>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</si>
  <si>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</si>
  <si>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</si>
  <si>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</si>
  <si>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</si>
  <si>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</si>
  <si>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</si>
  <si>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</si>
  <si>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</si>
  <si>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</si>
  <si>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</si>
  <si>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</si>
  <si>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</si>
  <si>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</si>
  <si>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</si>
  <si>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</si>
  <si>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</si>
  <si>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</si>
  <si>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</si>
  <si>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</si>
  <si>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</si>
  <si>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</si>
  <si>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</si>
  <si>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</si>
  <si>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</si>
  <si>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</si>
  <si>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</si>
  <si>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</si>
  <si>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</si>
  <si>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</si>
  <si>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</si>
  <si>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</si>
  <si>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</si>
  <si>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</si>
  <si>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</si>
  <si>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</si>
  <si>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</si>
  <si>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</si>
  <si>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</si>
  <si>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</si>
  <si>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</si>
  <si>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</si>
  <si>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</si>
  <si>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</si>
  <si>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</si>
  <si>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</si>
  <si>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</si>
  <si>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</si>
  <si>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</si>
  <si>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</si>
  <si>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</si>
  <si>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</si>
  <si>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</si>
  <si>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</si>
  <si>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</si>
  <si>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</si>
  <si>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</si>
  <si>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</si>
  <si>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</si>
  <si>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</si>
  <si>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</si>
  <si>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</si>
  <si>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</si>
  <si>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</si>
  <si>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</si>
  <si>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</si>
  <si>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</si>
  <si>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</si>
  <si>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</si>
  <si>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</si>
  <si>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</si>
  <si>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</si>
  <si>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</si>
  <si>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</si>
  <si>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</si>
  <si>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</si>
  <si>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</si>
  <si>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</si>
  <si>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</si>
  <si>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</si>
  <si>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</si>
  <si>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</si>
  <si>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</si>
  <si>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</si>
  <si>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</si>
  <si>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</si>
  <si>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</si>
  <si>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</si>
  <si>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</si>
  <si>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</si>
  <si>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</si>
  <si>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</si>
  <si>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</si>
  <si>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</si>
  <si>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</si>
  <si>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</si>
  <si>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</si>
  <si>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</si>
  <si>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</si>
  <si>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</si>
  <si>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</si>
  <si>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</si>
  <si>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</si>
  <si>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</si>
  <si>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</si>
  <si>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</si>
  <si>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</si>
  <si>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</si>
  <si>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</si>
  <si>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</si>
  <si>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</si>
  <si>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</si>
  <si>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</si>
  <si>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</si>
  <si>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</si>
  <si>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</si>
  <si>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</si>
  <si>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</si>
  <si>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</si>
  <si>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</si>
  <si>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</si>
  <si>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</si>
  <si>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</si>
  <si>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</si>
  <si>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</si>
  <si>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</si>
  <si>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</si>
  <si>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</si>
  <si>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</si>
  <si>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</si>
  <si>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</si>
  <si>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</si>
  <si>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</si>
  <si>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</si>
  <si>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</si>
  <si>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</si>
  <si>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</si>
  <si>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</si>
  <si>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</si>
  <si>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</si>
  <si>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</si>
  <si>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</si>
  <si>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</si>
  <si>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</si>
  <si>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</si>
  <si>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</si>
  <si>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</si>
  <si>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</si>
  <si>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</si>
  <si>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</si>
  <si>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</si>
  <si>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</si>
  <si>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</si>
  <si>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</si>
  <si>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</si>
  <si>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</si>
  <si>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</si>
  <si>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</si>
  <si>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</si>
  <si>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</si>
  <si>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</si>
  <si>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</si>
  <si>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</si>
  <si>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</si>
  <si>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</si>
  <si>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</si>
  <si>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</si>
  <si>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</si>
  <si>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</si>
  <si>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</si>
  <si>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</si>
  <si>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</si>
  <si>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</si>
  <si>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</si>
  <si>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</si>
  <si>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</si>
  <si>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</si>
  <si>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</si>
  <si>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</si>
  <si>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</si>
  <si>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</si>
  <si>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</si>
  <si>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</si>
  <si>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</si>
  <si>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</si>
  <si>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</si>
  <si>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</si>
  <si>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</si>
  <si>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</si>
  <si>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</si>
  <si>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</si>
  <si>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</si>
  <si>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</si>
  <si>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</si>
  <si>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</si>
  <si>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</si>
  <si>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</si>
  <si>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</si>
  <si>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</si>
  <si>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</si>
  <si>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</si>
  <si>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</si>
  <si>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</si>
  <si>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</si>
  <si>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</si>
  <si>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</si>
  <si>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</si>
  <si>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</si>
  <si>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</si>
  <si>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</si>
  <si>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</si>
  <si>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</si>
  <si>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</si>
  <si>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</si>
  <si>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</si>
  <si>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</si>
  <si>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</si>
  <si>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</si>
  <si>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</si>
  <si>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</si>
  <si>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</si>
  <si>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</si>
  <si>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</si>
  <si>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</si>
  <si>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</si>
  <si>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</si>
  <si>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</si>
  <si>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</si>
  <si>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</si>
  <si>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</si>
  <si>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</si>
  <si>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</si>
  <si>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</si>
  <si>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</si>
  <si>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</si>
  <si>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</si>
  <si>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</si>
  <si>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</si>
  <si>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</si>
  <si>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</si>
  <si>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</si>
  <si>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</si>
  <si>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</si>
  <si>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</si>
  <si>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</si>
  <si>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</si>
  <si>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</si>
  <si>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</si>
  <si>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</si>
  <si>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</si>
  <si>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</si>
  <si>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</si>
  <si>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</si>
  <si>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</si>
  <si>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</si>
  <si>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</si>
  <si>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</si>
  <si>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</si>
  <si>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</si>
  <si>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</si>
  <si>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</si>
  <si>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</si>
  <si>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</si>
  <si>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</si>
  <si>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</si>
  <si>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</si>
  <si>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</si>
  <si>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</si>
  <si>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</si>
  <si>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</si>
  <si>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</si>
  <si>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</si>
  <si>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</si>
  <si>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</si>
  <si>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</si>
  <si>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</si>
  <si>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</si>
  <si>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</si>
  <si>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</si>
  <si>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</si>
  <si>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</si>
  <si>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</si>
  <si>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</si>
  <si>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</si>
  <si>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</si>
  <si>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</si>
  <si>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</si>
  <si>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</si>
  <si>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</si>
  <si>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</si>
  <si>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</si>
  <si>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</si>
  <si>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</si>
  <si>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</si>
  <si>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</si>
  <si>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</si>
  <si>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</si>
  <si>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</si>
  <si>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</si>
  <si>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</si>
  <si>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</si>
  <si>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</si>
  <si>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</si>
  <si>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</si>
  <si>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</si>
  <si>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</si>
  <si>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</si>
  <si>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</si>
  <si>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</si>
  <si>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</si>
  <si>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</si>
  <si>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</si>
  <si>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</si>
  <si>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</si>
  <si>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</si>
  <si>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</si>
  <si>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</si>
  <si>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</si>
  <si>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</si>
  <si>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</si>
  <si>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</si>
  <si>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</si>
  <si>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</si>
  <si>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</si>
  <si>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</si>
  <si>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</si>
  <si>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</si>
  <si>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</si>
  <si>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</si>
  <si>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</si>
  <si>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</si>
  <si>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</si>
  <si>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</si>
  <si>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</si>
  <si>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</si>
  <si>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</si>
  <si>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</si>
  <si>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</si>
  <si>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</si>
  <si>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</si>
  <si>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</si>
  <si>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</si>
  <si>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</si>
  <si>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</si>
  <si>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</si>
  <si>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</si>
  <si>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</si>
  <si>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</si>
  <si>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</si>
  <si>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</si>
  <si>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</si>
  <si>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</si>
  <si>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</si>
  <si>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</si>
  <si>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</si>
  <si>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</si>
  <si>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</si>
  <si>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</si>
  <si>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</si>
  <si>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</si>
  <si>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</si>
  <si>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</si>
  <si>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</si>
  <si>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</si>
  <si>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</si>
  <si>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</si>
  <si>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</si>
  <si>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</si>
  <si>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</si>
  <si>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</si>
  <si>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</si>
  <si>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</si>
  <si>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</si>
  <si>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</si>
  <si>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</si>
  <si>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</si>
  <si>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</si>
  <si>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</si>
  <si>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</si>
  <si>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</si>
  <si>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</si>
  <si>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</si>
  <si>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</si>
  <si>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</si>
  <si>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</si>
  <si>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</si>
  <si>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</si>
  <si>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</si>
  <si>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</si>
  <si>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</si>
  <si>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</si>
  <si>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</si>
  <si>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</si>
  <si>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</si>
  <si>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</si>
  <si>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</si>
  <si>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</si>
  <si>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</si>
  <si>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</si>
  <si>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</si>
  <si>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</si>
  <si>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</si>
  <si>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</si>
  <si>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</si>
  <si>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</si>
  <si>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</si>
  <si>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</si>
  <si>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</si>
  <si>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</si>
  <si>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</si>
  <si>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</si>
  <si>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</si>
  <si>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</si>
  <si>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</si>
  <si>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</si>
  <si>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</si>
  <si>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</si>
  <si>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</si>
  <si>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</si>
  <si>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</si>
  <si>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</si>
  <si>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</si>
  <si>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</si>
  <si>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</si>
  <si>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</si>
  <si>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</si>
  <si>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</si>
  <si>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</si>
  <si>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</si>
  <si>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</si>
  <si>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</si>
  <si>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</si>
  <si>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</si>
  <si>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</si>
  <si>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</si>
  <si>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</si>
  <si>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</si>
  <si>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</si>
  <si>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</si>
  <si>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</si>
  <si>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</si>
  <si>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</si>
  <si>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</si>
  <si>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</si>
  <si>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</si>
  <si>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</si>
  <si>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</si>
  <si>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</si>
  <si>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</si>
  <si>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</si>
  <si>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</si>
  <si>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</si>
  <si>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</si>
  <si>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</si>
  <si>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</si>
  <si>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</si>
  <si>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</si>
  <si>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</si>
  <si>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</si>
  <si>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</si>
  <si>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</si>
  <si>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</si>
  <si>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</si>
  <si>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</si>
  <si>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</si>
  <si>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</si>
  <si>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</si>
  <si>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</si>
  <si>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</si>
  <si>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</si>
  <si>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</si>
  <si>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</si>
  <si>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</si>
  <si>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</si>
  <si>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</si>
  <si>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</si>
  <si>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</si>
  <si>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</si>
  <si>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</si>
  <si>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</si>
  <si>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</si>
  <si>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</si>
  <si>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</si>
  <si>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</si>
  <si>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</si>
  <si>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</si>
  <si>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</si>
  <si>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</si>
  <si>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</si>
  <si>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</si>
  <si>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</si>
  <si>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</si>
  <si>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</si>
  <si>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</si>
  <si>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</si>
  <si>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</si>
  <si>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</si>
  <si>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</si>
  <si>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</si>
  <si>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</si>
  <si>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</si>
  <si>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</si>
  <si>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</si>
  <si>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</si>
  <si>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</si>
  <si>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</si>
  <si>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</si>
  <si>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</si>
  <si>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</si>
  <si>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</si>
  <si>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</si>
  <si>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</si>
  <si>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</si>
  <si>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</si>
  <si>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</si>
  <si>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</si>
  <si>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</si>
  <si>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</si>
  <si>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</si>
  <si>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</si>
  <si>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</si>
  <si>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</si>
  <si>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</si>
  <si>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</si>
  <si>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</si>
  <si>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</si>
  <si>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</si>
  <si>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</si>
  <si>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</si>
  <si>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</si>
  <si>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</si>
  <si>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</si>
  <si>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</si>
  <si>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</si>
  <si>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</si>
  <si>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</si>
  <si>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</si>
  <si>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</si>
  <si>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</si>
  <si>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</si>
  <si>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</si>
  <si>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</si>
  <si>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</si>
  <si>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</si>
  <si>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</si>
  <si>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</si>
  <si>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</si>
  <si>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</si>
  <si>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</si>
  <si>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</si>
  <si>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</si>
  <si>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</si>
  <si>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</si>
  <si>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</si>
  <si>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</si>
  <si>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</si>
  <si>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</si>
  <si>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</si>
  <si>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</si>
  <si>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</si>
  <si>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</si>
  <si>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</si>
  <si>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</si>
  <si>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</si>
  <si>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</si>
  <si>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</si>
  <si>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</si>
  <si>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</si>
  <si>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</si>
  <si>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</si>
  <si>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</si>
  <si>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</si>
  <si>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Column</t>
  </si>
  <si>
    <t>Missing Count</t>
  </si>
  <si>
    <t>Total_Income</t>
  </si>
  <si>
    <t>Income_Group</t>
  </si>
  <si>
    <t>Loan_Status_Label</t>
  </si>
  <si>
    <t>Credit_Risk</t>
  </si>
  <si>
    <t>Total Applications</t>
  </si>
  <si>
    <t>Total Applroved</t>
  </si>
  <si>
    <t>Approval Rate %</t>
  </si>
  <si>
    <t>Total Rejected</t>
  </si>
  <si>
    <t>Avg Loan Amount</t>
  </si>
  <si>
    <t>Avg Applicant Income</t>
  </si>
  <si>
    <t>Good Credit History %</t>
  </si>
  <si>
    <t>Self Employed %</t>
  </si>
  <si>
    <t>Row Labels</t>
  </si>
  <si>
    <t>Grand Total</t>
  </si>
  <si>
    <t>Column Labels</t>
  </si>
  <si>
    <t>Count of Loan_ID</t>
  </si>
  <si>
    <t>Average of LoanAmount</t>
  </si>
  <si>
    <t>Approved</t>
  </si>
  <si>
    <t>Rejected</t>
  </si>
  <si>
    <t>Average of Total_Income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</si>
</sst>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N" refreshedDate="46225.634881365739" createdVersion="8" refreshedVersion="8" minRefreshableVersion="3" recordCount="614" xr:uid="{98029948-D122-4064-B41D-F11521932A23}">
  <cacheSource type="worksheet">
    <worksheetSource ref="A1:Q615" sheet="Loan_Data"/>
  </cacheSource>
  <cacheFields count="17">
    <cacheField name="Loan_ID" numFmtId="0">
      <sharedItems/>
    </cacheField>
    <cacheField name="Gender" numFmtId="0">
      <sharedItems/>
    </cacheField>
    <cacheField name="Married" numFmtId="0">
      <sharedItems/>
    </cacheField>
    <cacheField name="Dependents" numFmtId="0">
      <sharedItems containsMixedTypes="1" containsNumber="1" containsInteger="1" minValue="0" maxValue="2"/>
    </cacheField>
    <cacheField name="Education" numFmtId="0">
      <sharedItems count="2">
        <s v="Graduate"/>
        <s v="Not Graduate"/>
      </sharedItems>
    </cacheField>
    <cacheField name="Self_Employed" numFmtId="0">
      <sharedItems containsBlank="1"/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LoanAmount" numFmtId="0">
      <sharedItems containsSemiMixedTypes="0" containsString="0" containsNumber="1" containsInteger="1" minValue="9" maxValue="700"/>
    </cacheField>
    <cacheField name="Loan_Amount_Term" numFmtId="0">
      <sharedItems containsSemiMixedTypes="0" containsString="0" containsNumber="1" containsInteger="1" minValue="12" maxValue="480"/>
    </cacheField>
    <cacheField name="Credit_History" numFmtId="0">
      <sharedItems containsSemiMixedTypes="0" containsString="0" containsNumber="1" containsInteger="1" minValue="0" maxValue="1" count="2">
        <n v="1"/>
        <n v="0"/>
      </sharedItems>
    </cacheField>
    <cacheField name="Property_Area" numFmtId="0">
      <sharedItems count="3">
        <s v="Urban"/>
        <s v="Rural"/>
        <s v="Semiurban"/>
      </sharedItems>
    </cacheField>
    <cacheField name="Loan_Status" numFmtId="0">
      <sharedItems count="2">
        <s v="Y"/>
        <s v="N"/>
      </sharedItems>
    </cacheField>
    <cacheField name="Total_Income" numFmtId="0">
      <sharedItems containsSemiMixedTypes="0" containsString="0" containsNumber="1" minValue="1442" maxValue="81000"/>
    </cacheField>
    <cacheField name="Income_Group" numFmtId="0">
      <sharedItems/>
    </cacheField>
    <cacheField name="Loan_Status_Label" numFmtId="0">
      <sharedItems count="2">
        <s v="Approved"/>
        <s v="Rejected"/>
      </sharedItems>
    </cacheField>
    <cacheField name="Credit_Ris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s v="LP001002"/>
    <s v="Male"/>
    <s v="No"/>
    <n v="0"/>
    <x v="0"/>
    <s v="No"/>
    <n v="5849"/>
    <n v="0"/>
    <n v="128"/>
    <n v="360"/>
    <x v="0"/>
    <x v="0"/>
    <x v="0"/>
    <n v="5849"/>
    <s v="High"/>
    <x v="0"/>
    <s v="Low Risk"/>
  </r>
  <r>
    <s v="LP001003"/>
    <s v="Male"/>
    <s v="Yes"/>
    <n v="1"/>
    <x v="0"/>
    <s v="No"/>
    <n v="4583"/>
    <n v="1508"/>
    <n v="128"/>
    <n v="360"/>
    <x v="0"/>
    <x v="1"/>
    <x v="1"/>
    <n v="6091"/>
    <s v="High"/>
    <x v="1"/>
    <s v="Low Risk"/>
  </r>
  <r>
    <s v="LP001005"/>
    <s v="Male"/>
    <s v="Yes"/>
    <n v="0"/>
    <x v="0"/>
    <s v="Yes"/>
    <n v="3000"/>
    <n v="0"/>
    <n v="66"/>
    <n v="360"/>
    <x v="0"/>
    <x v="0"/>
    <x v="0"/>
    <n v="3000"/>
    <s v="Medium"/>
    <x v="0"/>
    <s v="Low Risk"/>
  </r>
  <r>
    <s v="LP001006"/>
    <s v="Male"/>
    <s v="Yes"/>
    <n v="0"/>
    <x v="1"/>
    <s v="No"/>
    <n v="2583"/>
    <n v="2358"/>
    <n v="120"/>
    <n v="360"/>
    <x v="0"/>
    <x v="0"/>
    <x v="0"/>
    <n v="4941"/>
    <s v="Medium"/>
    <x v="0"/>
    <s v="Low Risk"/>
  </r>
  <r>
    <s v="LP001008"/>
    <s v="Male"/>
    <s v="No"/>
    <n v="0"/>
    <x v="0"/>
    <s v="No"/>
    <n v="6000"/>
    <n v="0"/>
    <n v="141"/>
    <n v="360"/>
    <x v="0"/>
    <x v="0"/>
    <x v="0"/>
    <n v="6000"/>
    <s v="High"/>
    <x v="0"/>
    <s v="Low Risk"/>
  </r>
  <r>
    <s v="LP001011"/>
    <s v="Male"/>
    <s v="Yes"/>
    <n v="2"/>
    <x v="0"/>
    <s v="Yes"/>
    <n v="5417"/>
    <n v="4196"/>
    <n v="267"/>
    <n v="360"/>
    <x v="0"/>
    <x v="0"/>
    <x v="0"/>
    <n v="9613"/>
    <s v="High"/>
    <x v="0"/>
    <s v="Low Risk"/>
  </r>
  <r>
    <s v="LP001013"/>
    <s v="Male"/>
    <s v="Yes"/>
    <n v="0"/>
    <x v="1"/>
    <s v="No"/>
    <n v="2333"/>
    <n v="1516"/>
    <n v="95"/>
    <n v="360"/>
    <x v="0"/>
    <x v="0"/>
    <x v="0"/>
    <n v="3849"/>
    <s v="Medium"/>
    <x v="0"/>
    <s v="Low Risk"/>
  </r>
  <r>
    <s v="LP001014"/>
    <s v="Male"/>
    <s v="Yes"/>
    <s v="3+"/>
    <x v="0"/>
    <s v="No"/>
    <n v="3036"/>
    <n v="2504"/>
    <n v="158"/>
    <n v="360"/>
    <x v="1"/>
    <x v="2"/>
    <x v="1"/>
    <n v="5540"/>
    <s v="High"/>
    <x v="1"/>
    <s v="High Risk"/>
  </r>
  <r>
    <s v="LP001018"/>
    <s v="Male"/>
    <s v="Yes"/>
    <n v="2"/>
    <x v="0"/>
    <s v="No"/>
    <n v="4006"/>
    <n v="1526"/>
    <n v="168"/>
    <n v="360"/>
    <x v="0"/>
    <x v="0"/>
    <x v="0"/>
    <n v="5532"/>
    <s v="High"/>
    <x v="0"/>
    <s v="Low Risk"/>
  </r>
  <r>
    <s v="LP001020"/>
    <s v="Male"/>
    <s v="Yes"/>
    <n v="1"/>
    <x v="0"/>
    <s v="No"/>
    <n v="12841"/>
    <n v="10968"/>
    <n v="349"/>
    <n v="360"/>
    <x v="0"/>
    <x v="2"/>
    <x v="1"/>
    <n v="23809"/>
    <s v="Very High"/>
    <x v="1"/>
    <s v="Low Risk"/>
  </r>
  <r>
    <s v="LP001024"/>
    <s v="Male"/>
    <s v="Yes"/>
    <n v="2"/>
    <x v="0"/>
    <s v="No"/>
    <n v="3200"/>
    <n v="700"/>
    <n v="70"/>
    <n v="360"/>
    <x v="0"/>
    <x v="0"/>
    <x v="0"/>
    <n v="3900"/>
    <s v="Medium"/>
    <x v="0"/>
    <s v="Low Risk"/>
  </r>
  <r>
    <s v="LP001027"/>
    <s v="Male"/>
    <s v="Yes"/>
    <n v="2"/>
    <x v="0"/>
    <m/>
    <n v="2500"/>
    <n v="1840"/>
    <n v="109"/>
    <n v="360"/>
    <x v="0"/>
    <x v="0"/>
    <x v="0"/>
    <n v="4340"/>
    <s v="Medium"/>
    <x v="0"/>
    <s v="Low Risk"/>
  </r>
  <r>
    <s v="LP001028"/>
    <s v="Male"/>
    <s v="Yes"/>
    <n v="2"/>
    <x v="0"/>
    <s v="No"/>
    <n v="3073"/>
    <n v="8106"/>
    <n v="200"/>
    <n v="360"/>
    <x v="0"/>
    <x v="0"/>
    <x v="0"/>
    <n v="11179"/>
    <s v="Very High"/>
    <x v="0"/>
    <s v="Low Risk"/>
  </r>
  <r>
    <s v="LP001029"/>
    <s v="Male"/>
    <s v="No"/>
    <n v="0"/>
    <x v="0"/>
    <s v="No"/>
    <n v="1853"/>
    <n v="2840"/>
    <n v="114"/>
    <n v="360"/>
    <x v="0"/>
    <x v="1"/>
    <x v="1"/>
    <n v="4693"/>
    <s v="Medium"/>
    <x v="1"/>
    <s v="Low Risk"/>
  </r>
  <r>
    <s v="LP001030"/>
    <s v="Male"/>
    <s v="Yes"/>
    <n v="2"/>
    <x v="0"/>
    <s v="No"/>
    <n v="1299"/>
    <n v="1086"/>
    <n v="17"/>
    <n v="120"/>
    <x v="0"/>
    <x v="0"/>
    <x v="0"/>
    <n v="2385"/>
    <s v="Low"/>
    <x v="0"/>
    <s v="Low Risk"/>
  </r>
  <r>
    <s v="LP001032"/>
    <s v="Male"/>
    <s v="No"/>
    <n v="0"/>
    <x v="0"/>
    <s v="No"/>
    <n v="4950"/>
    <n v="0"/>
    <n v="125"/>
    <n v="360"/>
    <x v="0"/>
    <x v="0"/>
    <x v="0"/>
    <n v="4950"/>
    <s v="Medium"/>
    <x v="0"/>
    <s v="Low Risk"/>
  </r>
  <r>
    <s v="LP001034"/>
    <s v="Male"/>
    <s v="No"/>
    <n v="1"/>
    <x v="1"/>
    <s v="No"/>
    <n v="3596"/>
    <n v="0"/>
    <n v="100"/>
    <n v="240"/>
    <x v="0"/>
    <x v="0"/>
    <x v="0"/>
    <n v="3596"/>
    <s v="Medium"/>
    <x v="0"/>
    <s v="Low Risk"/>
  </r>
  <r>
    <s v="LP001036"/>
    <s v="Female"/>
    <s v="No"/>
    <n v="0"/>
    <x v="0"/>
    <s v="No"/>
    <n v="3510"/>
    <n v="0"/>
    <n v="76"/>
    <n v="360"/>
    <x v="1"/>
    <x v="0"/>
    <x v="1"/>
    <n v="3510"/>
    <s v="Medium"/>
    <x v="1"/>
    <s v="High Risk"/>
  </r>
  <r>
    <s v="LP001038"/>
    <s v="Male"/>
    <s v="Yes"/>
    <n v="0"/>
    <x v="1"/>
    <s v="No"/>
    <n v="4887"/>
    <n v="0"/>
    <n v="133"/>
    <n v="360"/>
    <x v="0"/>
    <x v="1"/>
    <x v="1"/>
    <n v="4887"/>
    <s v="Medium"/>
    <x v="1"/>
    <s v="Low Risk"/>
  </r>
  <r>
    <s v="LP001041"/>
    <s v="Male"/>
    <s v="Yes"/>
    <n v="0"/>
    <x v="0"/>
    <m/>
    <n v="2600"/>
    <n v="3500"/>
    <n v="115"/>
    <n v="360"/>
    <x v="0"/>
    <x v="0"/>
    <x v="0"/>
    <n v="6100"/>
    <s v="High"/>
    <x v="0"/>
    <s v="Low Risk"/>
  </r>
  <r>
    <s v="LP001043"/>
    <s v="Male"/>
    <s v="Yes"/>
    <n v="0"/>
    <x v="1"/>
    <s v="No"/>
    <n v="7660"/>
    <n v="0"/>
    <n v="104"/>
    <n v="360"/>
    <x v="1"/>
    <x v="0"/>
    <x v="1"/>
    <n v="7660"/>
    <s v="High"/>
    <x v="1"/>
    <s v="High Risk"/>
  </r>
  <r>
    <s v="LP001046"/>
    <s v="Male"/>
    <s v="Yes"/>
    <n v="1"/>
    <x v="0"/>
    <s v="No"/>
    <n v="5955"/>
    <n v="5625"/>
    <n v="315"/>
    <n v="360"/>
    <x v="0"/>
    <x v="0"/>
    <x v="0"/>
    <n v="11580"/>
    <s v="Very High"/>
    <x v="0"/>
    <s v="Low Risk"/>
  </r>
  <r>
    <s v="LP001047"/>
    <s v="Male"/>
    <s v="Yes"/>
    <n v="0"/>
    <x v="1"/>
    <s v="No"/>
    <n v="2600"/>
    <n v="1911"/>
    <n v="116"/>
    <n v="360"/>
    <x v="1"/>
    <x v="2"/>
    <x v="1"/>
    <n v="4511"/>
    <s v="Medium"/>
    <x v="1"/>
    <s v="High Risk"/>
  </r>
  <r>
    <s v="LP001050"/>
    <s v="Male"/>
    <s v="Yes"/>
    <n v="2"/>
    <x v="1"/>
    <s v="No"/>
    <n v="3365"/>
    <n v="1917"/>
    <n v="112"/>
    <n v="360"/>
    <x v="1"/>
    <x v="1"/>
    <x v="1"/>
    <n v="5282"/>
    <s v="High"/>
    <x v="1"/>
    <s v="High Risk"/>
  </r>
  <r>
    <s v="LP001052"/>
    <s v="Male"/>
    <s v="Yes"/>
    <n v="1"/>
    <x v="0"/>
    <m/>
    <n v="3717"/>
    <n v="2925"/>
    <n v="151"/>
    <n v="360"/>
    <x v="0"/>
    <x v="2"/>
    <x v="1"/>
    <n v="6642"/>
    <s v="High"/>
    <x v="1"/>
    <s v="Low Risk"/>
  </r>
  <r>
    <s v="LP001066"/>
    <s v="Male"/>
    <s v="Yes"/>
    <n v="0"/>
    <x v="0"/>
    <s v="Yes"/>
    <n v="9560"/>
    <n v="0"/>
    <n v="191"/>
    <n v="360"/>
    <x v="0"/>
    <x v="2"/>
    <x v="0"/>
    <n v="9560"/>
    <s v="High"/>
    <x v="0"/>
    <s v="Low Risk"/>
  </r>
  <r>
    <s v="LP001068"/>
    <s v="Male"/>
    <s v="Yes"/>
    <n v="0"/>
    <x v="0"/>
    <s v="No"/>
    <n v="2799"/>
    <n v="2253"/>
    <n v="122"/>
    <n v="360"/>
    <x v="0"/>
    <x v="2"/>
    <x v="0"/>
    <n v="5052"/>
    <s v="High"/>
    <x v="0"/>
    <s v="Low Risk"/>
  </r>
  <r>
    <s v="LP001073"/>
    <s v="Male"/>
    <s v="Yes"/>
    <n v="2"/>
    <x v="1"/>
    <s v="No"/>
    <n v="4226"/>
    <n v="1040"/>
    <n v="110"/>
    <n v="360"/>
    <x v="0"/>
    <x v="0"/>
    <x v="0"/>
    <n v="5266"/>
    <s v="High"/>
    <x v="0"/>
    <s v="Low Risk"/>
  </r>
  <r>
    <s v="LP001086"/>
    <s v="Male"/>
    <s v="No"/>
    <n v="0"/>
    <x v="1"/>
    <s v="No"/>
    <n v="1442"/>
    <n v="0"/>
    <n v="35"/>
    <n v="360"/>
    <x v="0"/>
    <x v="0"/>
    <x v="1"/>
    <n v="1442"/>
    <s v="Low"/>
    <x v="1"/>
    <s v="Low Risk"/>
  </r>
  <r>
    <s v="LP001087"/>
    <s v="Female"/>
    <s v="No"/>
    <n v="2"/>
    <x v="0"/>
    <m/>
    <n v="3750"/>
    <n v="2083"/>
    <n v="120"/>
    <n v="360"/>
    <x v="0"/>
    <x v="2"/>
    <x v="0"/>
    <n v="5833"/>
    <s v="High"/>
    <x v="0"/>
    <s v="Low Risk"/>
  </r>
  <r>
    <s v="LP001091"/>
    <s v="Male"/>
    <s v="Yes"/>
    <n v="1"/>
    <x v="0"/>
    <m/>
    <n v="4166"/>
    <n v="3369"/>
    <n v="201"/>
    <n v="360"/>
    <x v="0"/>
    <x v="0"/>
    <x v="1"/>
    <n v="7535"/>
    <s v="High"/>
    <x v="1"/>
    <s v="Low Risk"/>
  </r>
  <r>
    <s v="LP001095"/>
    <s v="Male"/>
    <s v="No"/>
    <n v="0"/>
    <x v="0"/>
    <s v="No"/>
    <n v="3167"/>
    <n v="0"/>
    <n v="74"/>
    <n v="360"/>
    <x v="0"/>
    <x v="0"/>
    <x v="1"/>
    <n v="3167"/>
    <s v="Medium"/>
    <x v="1"/>
    <s v="Low Risk"/>
  </r>
  <r>
    <s v="LP001097"/>
    <s v="Male"/>
    <s v="No"/>
    <n v="1"/>
    <x v="0"/>
    <s v="Yes"/>
    <n v="4692"/>
    <n v="0"/>
    <n v="106"/>
    <n v="360"/>
    <x v="0"/>
    <x v="1"/>
    <x v="1"/>
    <n v="4692"/>
    <s v="Medium"/>
    <x v="1"/>
    <s v="Low Risk"/>
  </r>
  <r>
    <s v="LP001098"/>
    <s v="Male"/>
    <s v="Yes"/>
    <n v="0"/>
    <x v="0"/>
    <s v="No"/>
    <n v="3500"/>
    <n v="1667"/>
    <n v="114"/>
    <n v="360"/>
    <x v="0"/>
    <x v="2"/>
    <x v="0"/>
    <n v="5167"/>
    <s v="High"/>
    <x v="0"/>
    <s v="Low Risk"/>
  </r>
  <r>
    <s v="LP001100"/>
    <s v="Male"/>
    <s v="No"/>
    <s v="3+"/>
    <x v="0"/>
    <s v="No"/>
    <n v="12500"/>
    <n v="3000"/>
    <n v="320"/>
    <n v="360"/>
    <x v="0"/>
    <x v="1"/>
    <x v="1"/>
    <n v="15500"/>
    <s v="Very High"/>
    <x v="1"/>
    <s v="Low Risk"/>
  </r>
  <r>
    <s v="LP001106"/>
    <s v="Male"/>
    <s v="Yes"/>
    <n v="0"/>
    <x v="0"/>
    <s v="No"/>
    <n v="2275"/>
    <n v="2067"/>
    <n v="128"/>
    <n v="360"/>
    <x v="0"/>
    <x v="0"/>
    <x v="0"/>
    <n v="4342"/>
    <s v="Medium"/>
    <x v="0"/>
    <s v="Low Risk"/>
  </r>
  <r>
    <s v="LP001109"/>
    <s v="Male"/>
    <s v="Yes"/>
    <n v="0"/>
    <x v="0"/>
    <s v="No"/>
    <n v="1828"/>
    <n v="1330"/>
    <n v="100"/>
    <n v="360"/>
    <x v="1"/>
    <x v="0"/>
    <x v="1"/>
    <n v="3158"/>
    <s v="Medium"/>
    <x v="1"/>
    <s v="High Risk"/>
  </r>
  <r>
    <s v="LP001112"/>
    <s v="Female"/>
    <s v="Yes"/>
    <n v="0"/>
    <x v="0"/>
    <s v="No"/>
    <n v="3667"/>
    <n v="1459"/>
    <n v="144"/>
    <n v="360"/>
    <x v="0"/>
    <x v="2"/>
    <x v="0"/>
    <n v="5126"/>
    <s v="High"/>
    <x v="0"/>
    <s v="Low Risk"/>
  </r>
  <r>
    <s v="LP001114"/>
    <s v="Male"/>
    <s v="No"/>
    <n v="0"/>
    <x v="0"/>
    <s v="No"/>
    <n v="4166"/>
    <n v="7210"/>
    <n v="184"/>
    <n v="360"/>
    <x v="0"/>
    <x v="0"/>
    <x v="0"/>
    <n v="11376"/>
    <s v="Very High"/>
    <x v="0"/>
    <s v="Low Risk"/>
  </r>
  <r>
    <s v="LP001116"/>
    <s v="Male"/>
    <s v="No"/>
    <n v="0"/>
    <x v="1"/>
    <s v="No"/>
    <n v="3748"/>
    <n v="1668"/>
    <n v="110"/>
    <n v="360"/>
    <x v="0"/>
    <x v="2"/>
    <x v="0"/>
    <n v="5416"/>
    <s v="High"/>
    <x v="0"/>
    <s v="Low Risk"/>
  </r>
  <r>
    <s v="LP001119"/>
    <s v="Male"/>
    <s v="No"/>
    <n v="0"/>
    <x v="0"/>
    <s v="No"/>
    <n v="3600"/>
    <n v="0"/>
    <n v="80"/>
    <n v="360"/>
    <x v="0"/>
    <x v="0"/>
    <x v="1"/>
    <n v="3600"/>
    <s v="Medium"/>
    <x v="1"/>
    <s v="Low Risk"/>
  </r>
  <r>
    <s v="LP001120"/>
    <s v="Male"/>
    <s v="No"/>
    <n v="0"/>
    <x v="0"/>
    <s v="No"/>
    <n v="1800"/>
    <n v="1213"/>
    <n v="47"/>
    <n v="360"/>
    <x v="0"/>
    <x v="0"/>
    <x v="0"/>
    <n v="3013"/>
    <s v="Medium"/>
    <x v="0"/>
    <s v="Low Risk"/>
  </r>
  <r>
    <s v="LP001123"/>
    <s v="Male"/>
    <s v="Yes"/>
    <n v="0"/>
    <x v="0"/>
    <s v="No"/>
    <n v="2400"/>
    <n v="0"/>
    <n v="75"/>
    <n v="360"/>
    <x v="0"/>
    <x v="0"/>
    <x v="0"/>
    <n v="2400"/>
    <s v="Low"/>
    <x v="0"/>
    <s v="Low Risk"/>
  </r>
  <r>
    <s v="LP001131"/>
    <s v="Male"/>
    <s v="Yes"/>
    <n v="0"/>
    <x v="0"/>
    <s v="No"/>
    <n v="3941"/>
    <n v="2336"/>
    <n v="134"/>
    <n v="360"/>
    <x v="0"/>
    <x v="2"/>
    <x v="0"/>
    <n v="6277"/>
    <s v="High"/>
    <x v="0"/>
    <s v="Low Risk"/>
  </r>
  <r>
    <s v="LP001136"/>
    <s v="Male"/>
    <s v="Yes"/>
    <n v="0"/>
    <x v="1"/>
    <s v="Yes"/>
    <n v="4695"/>
    <n v="0"/>
    <n v="96"/>
    <n v="360"/>
    <x v="0"/>
    <x v="0"/>
    <x v="0"/>
    <n v="4695"/>
    <s v="Medium"/>
    <x v="0"/>
    <s v="Low Risk"/>
  </r>
  <r>
    <s v="LP001137"/>
    <s v="Female"/>
    <s v="No"/>
    <n v="0"/>
    <x v="0"/>
    <s v="No"/>
    <n v="3410"/>
    <n v="0"/>
    <n v="88"/>
    <n v="360"/>
    <x v="0"/>
    <x v="0"/>
    <x v="0"/>
    <n v="3410"/>
    <s v="Medium"/>
    <x v="0"/>
    <s v="Low Risk"/>
  </r>
  <r>
    <s v="LP001138"/>
    <s v="Male"/>
    <s v="Yes"/>
    <n v="1"/>
    <x v="0"/>
    <s v="No"/>
    <n v="5649"/>
    <n v="0"/>
    <n v="44"/>
    <n v="360"/>
    <x v="0"/>
    <x v="0"/>
    <x v="0"/>
    <n v="5649"/>
    <s v="High"/>
    <x v="0"/>
    <s v="Low Risk"/>
  </r>
  <r>
    <s v="LP001144"/>
    <s v="Male"/>
    <s v="Yes"/>
    <n v="0"/>
    <x v="0"/>
    <s v="No"/>
    <n v="5821"/>
    <n v="0"/>
    <n v="144"/>
    <n v="360"/>
    <x v="0"/>
    <x v="0"/>
    <x v="0"/>
    <n v="5821"/>
    <s v="High"/>
    <x v="0"/>
    <s v="Low Risk"/>
  </r>
  <r>
    <s v="LP001146"/>
    <s v="Female"/>
    <s v="Yes"/>
    <n v="0"/>
    <x v="0"/>
    <s v="No"/>
    <n v="2645"/>
    <n v="3440"/>
    <n v="120"/>
    <n v="360"/>
    <x v="1"/>
    <x v="0"/>
    <x v="1"/>
    <n v="6085"/>
    <s v="High"/>
    <x v="1"/>
    <s v="High Risk"/>
  </r>
  <r>
    <s v="LP001151"/>
    <s v="Female"/>
    <s v="No"/>
    <n v="0"/>
    <x v="0"/>
    <s v="No"/>
    <n v="4000"/>
    <n v="2275"/>
    <n v="144"/>
    <n v="360"/>
    <x v="0"/>
    <x v="2"/>
    <x v="0"/>
    <n v="6275"/>
    <s v="High"/>
    <x v="0"/>
    <s v="Low Risk"/>
  </r>
  <r>
    <s v="LP001155"/>
    <s v="Female"/>
    <s v="Yes"/>
    <n v="0"/>
    <x v="1"/>
    <s v="No"/>
    <n v="1928"/>
    <n v="1644"/>
    <n v="100"/>
    <n v="360"/>
    <x v="0"/>
    <x v="2"/>
    <x v="0"/>
    <n v="3572"/>
    <s v="Medium"/>
    <x v="0"/>
    <s v="Low Risk"/>
  </r>
  <r>
    <s v="LP001157"/>
    <s v="Female"/>
    <s v="No"/>
    <n v="0"/>
    <x v="0"/>
    <s v="No"/>
    <n v="3086"/>
    <n v="0"/>
    <n v="120"/>
    <n v="360"/>
    <x v="0"/>
    <x v="2"/>
    <x v="0"/>
    <n v="3086"/>
    <s v="Medium"/>
    <x v="0"/>
    <s v="Low Risk"/>
  </r>
  <r>
    <s v="LP001164"/>
    <s v="Female"/>
    <s v="No"/>
    <n v="0"/>
    <x v="0"/>
    <s v="No"/>
    <n v="4230"/>
    <n v="0"/>
    <n v="112"/>
    <n v="360"/>
    <x v="0"/>
    <x v="2"/>
    <x v="1"/>
    <n v="4230"/>
    <s v="Medium"/>
    <x v="1"/>
    <s v="Low Risk"/>
  </r>
  <r>
    <s v="LP001179"/>
    <s v="Male"/>
    <s v="Yes"/>
    <n v="2"/>
    <x v="0"/>
    <s v="No"/>
    <n v="4616"/>
    <n v="0"/>
    <n v="134"/>
    <n v="360"/>
    <x v="0"/>
    <x v="0"/>
    <x v="1"/>
    <n v="4616"/>
    <s v="Medium"/>
    <x v="1"/>
    <s v="Low Risk"/>
  </r>
  <r>
    <s v="LP001186"/>
    <s v="Female"/>
    <s v="Yes"/>
    <n v="1"/>
    <x v="0"/>
    <s v="Yes"/>
    <n v="11500"/>
    <n v="0"/>
    <n v="286"/>
    <n v="360"/>
    <x v="1"/>
    <x v="0"/>
    <x v="1"/>
    <n v="11500"/>
    <s v="Very High"/>
    <x v="1"/>
    <s v="High Risk"/>
  </r>
  <r>
    <s v="LP001194"/>
    <s v="Male"/>
    <s v="Yes"/>
    <n v="2"/>
    <x v="0"/>
    <s v="No"/>
    <n v="2708"/>
    <n v="1167"/>
    <n v="97"/>
    <n v="360"/>
    <x v="0"/>
    <x v="2"/>
    <x v="0"/>
    <n v="3875"/>
    <s v="Medium"/>
    <x v="0"/>
    <s v="Low Risk"/>
  </r>
  <r>
    <s v="LP001195"/>
    <s v="Male"/>
    <s v="Yes"/>
    <n v="0"/>
    <x v="0"/>
    <s v="No"/>
    <n v="2132"/>
    <n v="1591"/>
    <n v="96"/>
    <n v="360"/>
    <x v="0"/>
    <x v="2"/>
    <x v="0"/>
    <n v="3723"/>
    <s v="Medium"/>
    <x v="0"/>
    <s v="Low Risk"/>
  </r>
  <r>
    <s v="LP001197"/>
    <s v="Male"/>
    <s v="Yes"/>
    <n v="0"/>
    <x v="0"/>
    <s v="No"/>
    <n v="3366"/>
    <n v="2200"/>
    <n v="135"/>
    <n v="360"/>
    <x v="0"/>
    <x v="1"/>
    <x v="1"/>
    <n v="5566"/>
    <s v="High"/>
    <x v="1"/>
    <s v="Low Risk"/>
  </r>
  <r>
    <s v="LP001198"/>
    <s v="Male"/>
    <s v="Yes"/>
    <n v="1"/>
    <x v="0"/>
    <s v="No"/>
    <n v="8080"/>
    <n v="2250"/>
    <n v="180"/>
    <n v="360"/>
    <x v="0"/>
    <x v="0"/>
    <x v="0"/>
    <n v="10330"/>
    <s v="Very High"/>
    <x v="0"/>
    <s v="Low Risk"/>
  </r>
  <r>
    <s v="LP001199"/>
    <s v="Male"/>
    <s v="Yes"/>
    <n v="2"/>
    <x v="1"/>
    <s v="No"/>
    <n v="3357"/>
    <n v="2859"/>
    <n v="144"/>
    <n v="360"/>
    <x v="0"/>
    <x v="0"/>
    <x v="0"/>
    <n v="6216"/>
    <s v="High"/>
    <x v="0"/>
    <s v="Low Risk"/>
  </r>
  <r>
    <s v="LP001205"/>
    <s v="Male"/>
    <s v="Yes"/>
    <n v="0"/>
    <x v="0"/>
    <s v="No"/>
    <n v="2500"/>
    <n v="3796"/>
    <n v="120"/>
    <n v="360"/>
    <x v="0"/>
    <x v="0"/>
    <x v="0"/>
    <n v="6296"/>
    <s v="High"/>
    <x v="0"/>
    <s v="Low Risk"/>
  </r>
  <r>
    <s v="LP001206"/>
    <s v="Male"/>
    <s v="Yes"/>
    <s v="3+"/>
    <x v="0"/>
    <s v="No"/>
    <n v="3029"/>
    <n v="0"/>
    <n v="99"/>
    <n v="360"/>
    <x v="0"/>
    <x v="0"/>
    <x v="0"/>
    <n v="3029"/>
    <s v="Medium"/>
    <x v="0"/>
    <s v="Low Risk"/>
  </r>
  <r>
    <s v="LP001207"/>
    <s v="Male"/>
    <s v="Yes"/>
    <n v="0"/>
    <x v="1"/>
    <s v="Yes"/>
    <n v="2609"/>
    <n v="3449"/>
    <n v="165"/>
    <n v="180"/>
    <x v="1"/>
    <x v="1"/>
    <x v="1"/>
    <n v="6058"/>
    <s v="High"/>
    <x v="1"/>
    <s v="High Risk"/>
  </r>
  <r>
    <s v="LP001213"/>
    <s v="Male"/>
    <s v="Yes"/>
    <n v="1"/>
    <x v="0"/>
    <s v="No"/>
    <n v="4945"/>
    <n v="0"/>
    <n v="128"/>
    <n v="360"/>
    <x v="1"/>
    <x v="1"/>
    <x v="1"/>
    <n v="4945"/>
    <s v="Medium"/>
    <x v="1"/>
    <s v="High Risk"/>
  </r>
  <r>
    <s v="LP001222"/>
    <s v="Female"/>
    <s v="No"/>
    <n v="0"/>
    <x v="0"/>
    <s v="No"/>
    <n v="4166"/>
    <n v="0"/>
    <n v="116"/>
    <n v="360"/>
    <x v="1"/>
    <x v="2"/>
    <x v="1"/>
    <n v="4166"/>
    <s v="Medium"/>
    <x v="1"/>
    <s v="High Risk"/>
  </r>
  <r>
    <s v="LP001225"/>
    <s v="Male"/>
    <s v="Yes"/>
    <n v="0"/>
    <x v="0"/>
    <s v="No"/>
    <n v="5726"/>
    <n v="4595"/>
    <n v="258"/>
    <n v="360"/>
    <x v="0"/>
    <x v="2"/>
    <x v="1"/>
    <n v="10321"/>
    <s v="Very High"/>
    <x v="1"/>
    <s v="Low Risk"/>
  </r>
  <r>
    <s v="LP001228"/>
    <s v="Male"/>
    <s v="No"/>
    <n v="0"/>
    <x v="1"/>
    <s v="No"/>
    <n v="3200"/>
    <n v="2254"/>
    <n v="126"/>
    <n v="180"/>
    <x v="1"/>
    <x v="0"/>
    <x v="1"/>
    <n v="5454"/>
    <s v="High"/>
    <x v="1"/>
    <s v="High Risk"/>
  </r>
  <r>
    <s v="LP001233"/>
    <s v="Male"/>
    <s v="Yes"/>
    <n v="1"/>
    <x v="0"/>
    <s v="No"/>
    <n v="10750"/>
    <n v="0"/>
    <n v="312"/>
    <n v="360"/>
    <x v="0"/>
    <x v="0"/>
    <x v="0"/>
    <n v="10750"/>
    <s v="Very High"/>
    <x v="0"/>
    <s v="Low Risk"/>
  </r>
  <r>
    <s v="LP001238"/>
    <s v="Male"/>
    <s v="Yes"/>
    <s v="3+"/>
    <x v="1"/>
    <s v="Yes"/>
    <n v="7100"/>
    <n v="0"/>
    <n v="125"/>
    <n v="60"/>
    <x v="0"/>
    <x v="0"/>
    <x v="0"/>
    <n v="7100"/>
    <s v="High"/>
    <x v="0"/>
    <s v="Low Risk"/>
  </r>
  <r>
    <s v="LP001241"/>
    <s v="Female"/>
    <s v="No"/>
    <n v="0"/>
    <x v="0"/>
    <s v="No"/>
    <n v="4300"/>
    <n v="0"/>
    <n v="136"/>
    <n v="360"/>
    <x v="1"/>
    <x v="2"/>
    <x v="1"/>
    <n v="4300"/>
    <s v="Medium"/>
    <x v="1"/>
    <s v="High Risk"/>
  </r>
  <r>
    <s v="LP001243"/>
    <s v="Male"/>
    <s v="Yes"/>
    <n v="0"/>
    <x v="0"/>
    <s v="No"/>
    <n v="3208"/>
    <n v="3066"/>
    <n v="172"/>
    <n v="360"/>
    <x v="0"/>
    <x v="0"/>
    <x v="0"/>
    <n v="6274"/>
    <s v="High"/>
    <x v="0"/>
    <s v="Low Risk"/>
  </r>
  <r>
    <s v="LP001245"/>
    <s v="Male"/>
    <s v="Yes"/>
    <n v="2"/>
    <x v="1"/>
    <s v="Yes"/>
    <n v="1875"/>
    <n v="1875"/>
    <n v="97"/>
    <n v="360"/>
    <x v="0"/>
    <x v="2"/>
    <x v="0"/>
    <n v="3750"/>
    <s v="Medium"/>
    <x v="0"/>
    <s v="Low Risk"/>
  </r>
  <r>
    <s v="LP001248"/>
    <s v="Male"/>
    <s v="No"/>
    <n v="0"/>
    <x v="0"/>
    <s v="No"/>
    <n v="3500"/>
    <n v="0"/>
    <n v="81"/>
    <n v="300"/>
    <x v="0"/>
    <x v="2"/>
    <x v="0"/>
    <n v="3500"/>
    <s v="Medium"/>
    <x v="0"/>
    <s v="Low Risk"/>
  </r>
  <r>
    <s v="LP001250"/>
    <s v="Male"/>
    <s v="Yes"/>
    <s v="3+"/>
    <x v="1"/>
    <s v="No"/>
    <n v="4755"/>
    <n v="0"/>
    <n v="95"/>
    <n v="360"/>
    <x v="1"/>
    <x v="2"/>
    <x v="1"/>
    <n v="4755"/>
    <s v="Medium"/>
    <x v="1"/>
    <s v="High Risk"/>
  </r>
  <r>
    <s v="LP001253"/>
    <s v="Male"/>
    <s v="Yes"/>
    <s v="3+"/>
    <x v="0"/>
    <s v="Yes"/>
    <n v="5266"/>
    <n v="1774"/>
    <n v="187"/>
    <n v="360"/>
    <x v="0"/>
    <x v="2"/>
    <x v="0"/>
    <n v="7040"/>
    <s v="High"/>
    <x v="0"/>
    <s v="Low Risk"/>
  </r>
  <r>
    <s v="LP001255"/>
    <s v="Male"/>
    <s v="No"/>
    <n v="0"/>
    <x v="0"/>
    <s v="No"/>
    <n v="3750"/>
    <n v="0"/>
    <n v="113"/>
    <n v="480"/>
    <x v="0"/>
    <x v="0"/>
    <x v="1"/>
    <n v="3750"/>
    <s v="Medium"/>
    <x v="1"/>
    <s v="Low Risk"/>
  </r>
  <r>
    <s v="LP001256"/>
    <s v="Male"/>
    <s v="No"/>
    <n v="0"/>
    <x v="0"/>
    <s v="No"/>
    <n v="3750"/>
    <n v="4750"/>
    <n v="176"/>
    <n v="360"/>
    <x v="0"/>
    <x v="0"/>
    <x v="1"/>
    <n v="8500"/>
    <s v="High"/>
    <x v="1"/>
    <s v="Low Risk"/>
  </r>
  <r>
    <s v="LP001259"/>
    <s v="Male"/>
    <s v="Yes"/>
    <n v="1"/>
    <x v="0"/>
    <s v="Yes"/>
    <n v="1000"/>
    <n v="3022"/>
    <n v="110"/>
    <n v="360"/>
    <x v="0"/>
    <x v="0"/>
    <x v="1"/>
    <n v="4022"/>
    <s v="Medium"/>
    <x v="1"/>
    <s v="Low Risk"/>
  </r>
  <r>
    <s v="LP001263"/>
    <s v="Male"/>
    <s v="Yes"/>
    <s v="3+"/>
    <x v="0"/>
    <s v="No"/>
    <n v="3167"/>
    <n v="4000"/>
    <n v="180"/>
    <n v="300"/>
    <x v="1"/>
    <x v="2"/>
    <x v="1"/>
    <n v="7167"/>
    <s v="High"/>
    <x v="1"/>
    <s v="High Risk"/>
  </r>
  <r>
    <s v="LP001264"/>
    <s v="Male"/>
    <s v="Yes"/>
    <s v="3+"/>
    <x v="1"/>
    <s v="Yes"/>
    <n v="3333"/>
    <n v="2166"/>
    <n v="130"/>
    <n v="360"/>
    <x v="0"/>
    <x v="2"/>
    <x v="0"/>
    <n v="5499"/>
    <s v="High"/>
    <x v="0"/>
    <s v="Low Risk"/>
  </r>
  <r>
    <s v="LP001265"/>
    <s v="Female"/>
    <s v="No"/>
    <n v="0"/>
    <x v="0"/>
    <s v="No"/>
    <n v="3846"/>
    <n v="0"/>
    <n v="111"/>
    <n v="360"/>
    <x v="0"/>
    <x v="2"/>
    <x v="0"/>
    <n v="3846"/>
    <s v="Medium"/>
    <x v="0"/>
    <s v="Low Risk"/>
  </r>
  <r>
    <s v="LP001266"/>
    <s v="Male"/>
    <s v="Yes"/>
    <n v="1"/>
    <x v="0"/>
    <s v="Yes"/>
    <n v="2395"/>
    <n v="0"/>
    <n v="128"/>
    <n v="360"/>
    <x v="0"/>
    <x v="2"/>
    <x v="0"/>
    <n v="2395"/>
    <s v="Low"/>
    <x v="0"/>
    <s v="Low Risk"/>
  </r>
  <r>
    <s v="LP001267"/>
    <s v="Female"/>
    <s v="Yes"/>
    <n v="2"/>
    <x v="0"/>
    <s v="No"/>
    <n v="1378"/>
    <n v="1881"/>
    <n v="167"/>
    <n v="360"/>
    <x v="0"/>
    <x v="0"/>
    <x v="1"/>
    <n v="3259"/>
    <s v="Medium"/>
    <x v="1"/>
    <s v="Low Risk"/>
  </r>
  <r>
    <s v="LP001273"/>
    <s v="Male"/>
    <s v="Yes"/>
    <n v="0"/>
    <x v="0"/>
    <s v="No"/>
    <n v="6000"/>
    <n v="2250"/>
    <n v="265"/>
    <n v="360"/>
    <x v="0"/>
    <x v="2"/>
    <x v="1"/>
    <n v="8250"/>
    <s v="High"/>
    <x v="1"/>
    <s v="Low Risk"/>
  </r>
  <r>
    <s v="LP001275"/>
    <s v="Male"/>
    <s v="Yes"/>
    <n v="1"/>
    <x v="0"/>
    <s v="No"/>
    <n v="3988"/>
    <n v="0"/>
    <n v="50"/>
    <n v="240"/>
    <x v="0"/>
    <x v="0"/>
    <x v="0"/>
    <n v="3988"/>
    <s v="Medium"/>
    <x v="0"/>
    <s v="Low Risk"/>
  </r>
  <r>
    <s v="LP001279"/>
    <s v="Male"/>
    <s v="No"/>
    <n v="0"/>
    <x v="0"/>
    <s v="No"/>
    <n v="2366"/>
    <n v="2531"/>
    <n v="136"/>
    <n v="360"/>
    <x v="0"/>
    <x v="2"/>
    <x v="0"/>
    <n v="4897"/>
    <s v="Medium"/>
    <x v="0"/>
    <s v="Low Risk"/>
  </r>
  <r>
    <s v="LP001280"/>
    <s v="Male"/>
    <s v="Yes"/>
    <n v="2"/>
    <x v="1"/>
    <s v="No"/>
    <n v="3333"/>
    <n v="2000"/>
    <n v="99"/>
    <n v="360"/>
    <x v="0"/>
    <x v="2"/>
    <x v="0"/>
    <n v="5333"/>
    <s v="High"/>
    <x v="0"/>
    <s v="Low Risk"/>
  </r>
  <r>
    <s v="LP001282"/>
    <s v="Male"/>
    <s v="Yes"/>
    <n v="0"/>
    <x v="0"/>
    <s v="No"/>
    <n v="2500"/>
    <n v="2118"/>
    <n v="104"/>
    <n v="360"/>
    <x v="0"/>
    <x v="2"/>
    <x v="0"/>
    <n v="4618"/>
    <s v="Medium"/>
    <x v="0"/>
    <s v="Low Risk"/>
  </r>
  <r>
    <s v="LP001289"/>
    <s v="Male"/>
    <s v="No"/>
    <n v="0"/>
    <x v="0"/>
    <s v="No"/>
    <n v="8566"/>
    <n v="0"/>
    <n v="210"/>
    <n v="360"/>
    <x v="0"/>
    <x v="0"/>
    <x v="0"/>
    <n v="8566"/>
    <s v="High"/>
    <x v="0"/>
    <s v="Low Risk"/>
  </r>
  <r>
    <s v="LP001310"/>
    <s v="Male"/>
    <s v="Yes"/>
    <n v="0"/>
    <x v="0"/>
    <s v="No"/>
    <n v="5695"/>
    <n v="4167"/>
    <n v="175"/>
    <n v="360"/>
    <x v="0"/>
    <x v="2"/>
    <x v="0"/>
    <n v="9862"/>
    <s v="High"/>
    <x v="0"/>
    <s v="Low Risk"/>
  </r>
  <r>
    <s v="LP001316"/>
    <s v="Male"/>
    <s v="Yes"/>
    <n v="0"/>
    <x v="0"/>
    <s v="No"/>
    <n v="2958"/>
    <n v="2900"/>
    <n v="131"/>
    <n v="360"/>
    <x v="0"/>
    <x v="2"/>
    <x v="0"/>
    <n v="5858"/>
    <s v="High"/>
    <x v="0"/>
    <s v="Low Risk"/>
  </r>
  <r>
    <s v="LP001318"/>
    <s v="Male"/>
    <s v="Yes"/>
    <n v="2"/>
    <x v="0"/>
    <s v="No"/>
    <n v="6250"/>
    <n v="5654"/>
    <n v="188"/>
    <n v="180"/>
    <x v="0"/>
    <x v="2"/>
    <x v="0"/>
    <n v="11904"/>
    <s v="Very High"/>
    <x v="0"/>
    <s v="Low Risk"/>
  </r>
  <r>
    <s v="LP001319"/>
    <s v="Male"/>
    <s v="Yes"/>
    <n v="2"/>
    <x v="1"/>
    <s v="No"/>
    <n v="3273"/>
    <n v="1820"/>
    <n v="81"/>
    <n v="360"/>
    <x v="0"/>
    <x v="0"/>
    <x v="0"/>
    <n v="5093"/>
    <s v="High"/>
    <x v="0"/>
    <s v="Low Risk"/>
  </r>
  <r>
    <s v="LP001322"/>
    <s v="Male"/>
    <s v="No"/>
    <n v="0"/>
    <x v="0"/>
    <s v="No"/>
    <n v="4133"/>
    <n v="0"/>
    <n v="122"/>
    <n v="360"/>
    <x v="0"/>
    <x v="2"/>
    <x v="0"/>
    <n v="4133"/>
    <s v="Medium"/>
    <x v="0"/>
    <s v="Low Risk"/>
  </r>
  <r>
    <s v="LP001325"/>
    <s v="Male"/>
    <s v="No"/>
    <n v="0"/>
    <x v="1"/>
    <s v="No"/>
    <n v="3620"/>
    <n v="0"/>
    <n v="25"/>
    <n v="120"/>
    <x v="0"/>
    <x v="2"/>
    <x v="0"/>
    <n v="3620"/>
    <s v="Medium"/>
    <x v="0"/>
    <s v="Low Risk"/>
  </r>
  <r>
    <s v="LP001326"/>
    <s v="Male"/>
    <s v="No"/>
    <n v="0"/>
    <x v="0"/>
    <m/>
    <n v="6782"/>
    <n v="0"/>
    <n v="128"/>
    <n v="360"/>
    <x v="0"/>
    <x v="0"/>
    <x v="1"/>
    <n v="6782"/>
    <s v="High"/>
    <x v="1"/>
    <s v="Low Risk"/>
  </r>
  <r>
    <s v="LP001327"/>
    <s v="Female"/>
    <s v="Yes"/>
    <n v="0"/>
    <x v="0"/>
    <s v="No"/>
    <n v="2484"/>
    <n v="2302"/>
    <n v="137"/>
    <n v="360"/>
    <x v="0"/>
    <x v="2"/>
    <x v="0"/>
    <n v="4786"/>
    <s v="Medium"/>
    <x v="0"/>
    <s v="Low Risk"/>
  </r>
  <r>
    <s v="LP001333"/>
    <s v="Male"/>
    <s v="Yes"/>
    <n v="0"/>
    <x v="0"/>
    <s v="No"/>
    <n v="1977"/>
    <n v="997"/>
    <n v="50"/>
    <n v="360"/>
    <x v="0"/>
    <x v="2"/>
    <x v="0"/>
    <n v="2974"/>
    <s v="Medium"/>
    <x v="0"/>
    <s v="Low Risk"/>
  </r>
  <r>
    <s v="LP001334"/>
    <s v="Male"/>
    <s v="Yes"/>
    <n v="0"/>
    <x v="1"/>
    <s v="No"/>
    <n v="4188"/>
    <n v="0"/>
    <n v="115"/>
    <n v="180"/>
    <x v="0"/>
    <x v="2"/>
    <x v="0"/>
    <n v="4188"/>
    <s v="Medium"/>
    <x v="0"/>
    <s v="Low Risk"/>
  </r>
  <r>
    <s v="LP001343"/>
    <s v="Male"/>
    <s v="Yes"/>
    <n v="0"/>
    <x v="0"/>
    <s v="No"/>
    <n v="1759"/>
    <n v="3541"/>
    <n v="131"/>
    <n v="360"/>
    <x v="0"/>
    <x v="2"/>
    <x v="0"/>
    <n v="5300"/>
    <s v="High"/>
    <x v="0"/>
    <s v="Low Risk"/>
  </r>
  <r>
    <s v="LP001345"/>
    <s v="Male"/>
    <s v="Yes"/>
    <n v="2"/>
    <x v="1"/>
    <s v="No"/>
    <n v="4288"/>
    <n v="3263"/>
    <n v="133"/>
    <n v="180"/>
    <x v="0"/>
    <x v="0"/>
    <x v="0"/>
    <n v="7551"/>
    <s v="High"/>
    <x v="0"/>
    <s v="Low Risk"/>
  </r>
  <r>
    <s v="LP001349"/>
    <s v="Male"/>
    <s v="No"/>
    <n v="0"/>
    <x v="0"/>
    <s v="No"/>
    <n v="4843"/>
    <n v="3806"/>
    <n v="151"/>
    <n v="360"/>
    <x v="0"/>
    <x v="2"/>
    <x v="0"/>
    <n v="8649"/>
    <s v="High"/>
    <x v="0"/>
    <s v="Low Risk"/>
  </r>
  <r>
    <s v="LP001350"/>
    <s v="Male"/>
    <s v="Yes"/>
    <n v="0"/>
    <x v="0"/>
    <s v="No"/>
    <n v="13650"/>
    <n v="0"/>
    <n v="128"/>
    <n v="360"/>
    <x v="0"/>
    <x v="0"/>
    <x v="0"/>
    <n v="13650"/>
    <s v="Very High"/>
    <x v="0"/>
    <s v="Low Risk"/>
  </r>
  <r>
    <s v="LP001356"/>
    <s v="Male"/>
    <s v="Yes"/>
    <n v="0"/>
    <x v="0"/>
    <s v="No"/>
    <n v="4652"/>
    <n v="3583"/>
    <n v="128"/>
    <n v="360"/>
    <x v="0"/>
    <x v="2"/>
    <x v="0"/>
    <n v="8235"/>
    <s v="High"/>
    <x v="0"/>
    <s v="Low Risk"/>
  </r>
  <r>
    <s v="LP001357"/>
    <s v="Male"/>
    <s v="Yes"/>
    <n v="0"/>
    <x v="0"/>
    <s v="No"/>
    <n v="3816"/>
    <n v="754"/>
    <n v="160"/>
    <n v="360"/>
    <x v="0"/>
    <x v="0"/>
    <x v="0"/>
    <n v="4570"/>
    <s v="Medium"/>
    <x v="0"/>
    <s v="Low Risk"/>
  </r>
  <r>
    <s v="LP001367"/>
    <s v="Male"/>
    <s v="Yes"/>
    <n v="1"/>
    <x v="0"/>
    <s v="No"/>
    <n v="3052"/>
    <n v="1030"/>
    <n v="100"/>
    <n v="360"/>
    <x v="0"/>
    <x v="0"/>
    <x v="0"/>
    <n v="4082"/>
    <s v="Medium"/>
    <x v="0"/>
    <s v="Low Risk"/>
  </r>
  <r>
    <s v="LP001369"/>
    <s v="Male"/>
    <s v="Yes"/>
    <n v="2"/>
    <x v="0"/>
    <s v="No"/>
    <n v="11417"/>
    <n v="1126"/>
    <n v="225"/>
    <n v="360"/>
    <x v="0"/>
    <x v="0"/>
    <x v="0"/>
    <n v="12543"/>
    <s v="Very High"/>
    <x v="0"/>
    <s v="Low Risk"/>
  </r>
  <r>
    <s v="LP001370"/>
    <s v="Male"/>
    <s v="No"/>
    <n v="0"/>
    <x v="1"/>
    <m/>
    <n v="7333"/>
    <n v="0"/>
    <n v="120"/>
    <n v="360"/>
    <x v="0"/>
    <x v="1"/>
    <x v="1"/>
    <n v="7333"/>
    <s v="High"/>
    <x v="1"/>
    <s v="Low Risk"/>
  </r>
  <r>
    <s v="LP001379"/>
    <s v="Male"/>
    <s v="Yes"/>
    <n v="2"/>
    <x v="0"/>
    <s v="No"/>
    <n v="3800"/>
    <n v="3600"/>
    <n v="216"/>
    <n v="360"/>
    <x v="1"/>
    <x v="0"/>
    <x v="1"/>
    <n v="7400"/>
    <s v="High"/>
    <x v="1"/>
    <s v="High Risk"/>
  </r>
  <r>
    <s v="LP001384"/>
    <s v="Male"/>
    <s v="Yes"/>
    <s v="3+"/>
    <x v="1"/>
    <s v="No"/>
    <n v="2071"/>
    <n v="754"/>
    <n v="94"/>
    <n v="480"/>
    <x v="0"/>
    <x v="2"/>
    <x v="0"/>
    <n v="2825"/>
    <s v="Medium"/>
    <x v="0"/>
    <s v="Low Risk"/>
  </r>
  <r>
    <s v="LP001385"/>
    <s v="Male"/>
    <s v="No"/>
    <n v="0"/>
    <x v="0"/>
    <s v="No"/>
    <n v="5316"/>
    <n v="0"/>
    <n v="136"/>
    <n v="360"/>
    <x v="0"/>
    <x v="0"/>
    <x v="0"/>
    <n v="5316"/>
    <s v="High"/>
    <x v="0"/>
    <s v="Low Risk"/>
  </r>
  <r>
    <s v="LP001387"/>
    <s v="Female"/>
    <s v="Yes"/>
    <n v="0"/>
    <x v="0"/>
    <m/>
    <n v="2929"/>
    <n v="2333"/>
    <n v="139"/>
    <n v="360"/>
    <x v="0"/>
    <x v="2"/>
    <x v="0"/>
    <n v="5262"/>
    <s v="High"/>
    <x v="0"/>
    <s v="Low Risk"/>
  </r>
  <r>
    <s v="LP001391"/>
    <s v="Male"/>
    <s v="Yes"/>
    <n v="0"/>
    <x v="1"/>
    <s v="No"/>
    <n v="3572"/>
    <n v="4114"/>
    <n v="152"/>
    <n v="360"/>
    <x v="1"/>
    <x v="1"/>
    <x v="1"/>
    <n v="7686"/>
    <s v="High"/>
    <x v="1"/>
    <s v="High Risk"/>
  </r>
  <r>
    <s v="LP001392"/>
    <s v="Female"/>
    <s v="No"/>
    <n v="1"/>
    <x v="0"/>
    <s v="Yes"/>
    <n v="7451"/>
    <n v="0"/>
    <n v="128"/>
    <n v="360"/>
    <x v="0"/>
    <x v="2"/>
    <x v="0"/>
    <n v="7451"/>
    <s v="High"/>
    <x v="0"/>
    <s v="Low Risk"/>
  </r>
  <r>
    <s v="LP001398"/>
    <s v="Male"/>
    <s v="No"/>
    <n v="0"/>
    <x v="0"/>
    <m/>
    <n v="5050"/>
    <n v="0"/>
    <n v="118"/>
    <n v="360"/>
    <x v="0"/>
    <x v="2"/>
    <x v="0"/>
    <n v="5050"/>
    <s v="High"/>
    <x v="0"/>
    <s v="Low Risk"/>
  </r>
  <r>
    <s v="LP001401"/>
    <s v="Male"/>
    <s v="Yes"/>
    <n v="1"/>
    <x v="0"/>
    <s v="No"/>
    <n v="14583"/>
    <n v="0"/>
    <n v="185"/>
    <n v="180"/>
    <x v="0"/>
    <x v="1"/>
    <x v="0"/>
    <n v="14583"/>
    <s v="Very High"/>
    <x v="0"/>
    <s v="Low Risk"/>
  </r>
  <r>
    <s v="LP001404"/>
    <s v="Female"/>
    <s v="Yes"/>
    <n v="0"/>
    <x v="0"/>
    <s v="No"/>
    <n v="3167"/>
    <n v="2283"/>
    <n v="154"/>
    <n v="360"/>
    <x v="0"/>
    <x v="2"/>
    <x v="0"/>
    <n v="5450"/>
    <s v="High"/>
    <x v="0"/>
    <s v="Low Risk"/>
  </r>
  <r>
    <s v="LP001405"/>
    <s v="Male"/>
    <s v="Yes"/>
    <n v="1"/>
    <x v="0"/>
    <s v="No"/>
    <n v="2214"/>
    <n v="1398"/>
    <n v="85"/>
    <n v="360"/>
    <x v="0"/>
    <x v="0"/>
    <x v="0"/>
    <n v="3612"/>
    <s v="Medium"/>
    <x v="0"/>
    <s v="Low Risk"/>
  </r>
  <r>
    <s v="LP001421"/>
    <s v="Male"/>
    <s v="Yes"/>
    <n v="0"/>
    <x v="0"/>
    <s v="No"/>
    <n v="5568"/>
    <n v="2142"/>
    <n v="175"/>
    <n v="360"/>
    <x v="0"/>
    <x v="1"/>
    <x v="1"/>
    <n v="7710"/>
    <s v="High"/>
    <x v="1"/>
    <s v="Low Risk"/>
  </r>
  <r>
    <s v="LP001422"/>
    <s v="Female"/>
    <s v="No"/>
    <n v="0"/>
    <x v="0"/>
    <s v="No"/>
    <n v="10408"/>
    <n v="0"/>
    <n v="259"/>
    <n v="360"/>
    <x v="0"/>
    <x v="0"/>
    <x v="0"/>
    <n v="10408"/>
    <s v="Very High"/>
    <x v="0"/>
    <s v="Low Risk"/>
  </r>
  <r>
    <s v="LP001426"/>
    <s v="Male"/>
    <s v="Yes"/>
    <n v="0"/>
    <x v="0"/>
    <s v="No"/>
    <n v="5667"/>
    <n v="2667"/>
    <n v="180"/>
    <n v="360"/>
    <x v="0"/>
    <x v="1"/>
    <x v="0"/>
    <n v="8334"/>
    <s v="High"/>
    <x v="0"/>
    <s v="Low Risk"/>
  </r>
  <r>
    <s v="LP001430"/>
    <s v="Female"/>
    <s v="No"/>
    <n v="0"/>
    <x v="0"/>
    <s v="No"/>
    <n v="4166"/>
    <n v="0"/>
    <n v="44"/>
    <n v="360"/>
    <x v="0"/>
    <x v="2"/>
    <x v="0"/>
    <n v="4166"/>
    <s v="Medium"/>
    <x v="0"/>
    <s v="Low Risk"/>
  </r>
  <r>
    <s v="LP001431"/>
    <s v="Female"/>
    <s v="No"/>
    <n v="0"/>
    <x v="0"/>
    <s v="No"/>
    <n v="2137"/>
    <n v="8980"/>
    <n v="137"/>
    <n v="360"/>
    <x v="1"/>
    <x v="2"/>
    <x v="0"/>
    <n v="11117"/>
    <s v="Very High"/>
    <x v="0"/>
    <s v="High Risk"/>
  </r>
  <r>
    <s v="LP001432"/>
    <s v="Male"/>
    <s v="Yes"/>
    <n v="2"/>
    <x v="0"/>
    <s v="No"/>
    <n v="2957"/>
    <n v="0"/>
    <n v="81"/>
    <n v="360"/>
    <x v="0"/>
    <x v="2"/>
    <x v="0"/>
    <n v="2957"/>
    <s v="Medium"/>
    <x v="0"/>
    <s v="Low Risk"/>
  </r>
  <r>
    <s v="LP001439"/>
    <s v="Male"/>
    <s v="Yes"/>
    <n v="0"/>
    <x v="1"/>
    <s v="No"/>
    <n v="4300"/>
    <n v="2014"/>
    <n v="194"/>
    <n v="360"/>
    <x v="0"/>
    <x v="1"/>
    <x v="0"/>
    <n v="6314"/>
    <s v="High"/>
    <x v="0"/>
    <s v="Low Risk"/>
  </r>
  <r>
    <s v="LP001443"/>
    <s v="Female"/>
    <s v="No"/>
    <n v="0"/>
    <x v="0"/>
    <s v="No"/>
    <n v="3692"/>
    <n v="0"/>
    <n v="93"/>
    <n v="360"/>
    <x v="0"/>
    <x v="1"/>
    <x v="0"/>
    <n v="3692"/>
    <s v="Medium"/>
    <x v="0"/>
    <s v="Low Risk"/>
  </r>
  <r>
    <s v="LP001448"/>
    <s v="Male"/>
    <s v="Yes"/>
    <s v="3+"/>
    <x v="0"/>
    <s v="No"/>
    <n v="23803"/>
    <n v="0"/>
    <n v="370"/>
    <n v="360"/>
    <x v="0"/>
    <x v="1"/>
    <x v="0"/>
    <n v="23803"/>
    <s v="Very High"/>
    <x v="0"/>
    <s v="Low Risk"/>
  </r>
  <r>
    <s v="LP001449"/>
    <s v="Male"/>
    <s v="No"/>
    <n v="0"/>
    <x v="0"/>
    <s v="No"/>
    <n v="3865"/>
    <n v="1640"/>
    <n v="128"/>
    <n v="360"/>
    <x v="0"/>
    <x v="1"/>
    <x v="0"/>
    <n v="5505"/>
    <s v="High"/>
    <x v="0"/>
    <s v="Low Risk"/>
  </r>
  <r>
    <s v="LP001451"/>
    <s v="Male"/>
    <s v="Yes"/>
    <n v="1"/>
    <x v="0"/>
    <s v="Yes"/>
    <n v="10513"/>
    <n v="3850"/>
    <n v="160"/>
    <n v="180"/>
    <x v="1"/>
    <x v="0"/>
    <x v="1"/>
    <n v="14363"/>
    <s v="Very High"/>
    <x v="1"/>
    <s v="High Risk"/>
  </r>
  <r>
    <s v="LP001465"/>
    <s v="Male"/>
    <s v="Yes"/>
    <n v="0"/>
    <x v="0"/>
    <s v="No"/>
    <n v="6080"/>
    <n v="2569"/>
    <n v="182"/>
    <n v="360"/>
    <x v="0"/>
    <x v="1"/>
    <x v="1"/>
    <n v="8649"/>
    <s v="High"/>
    <x v="1"/>
    <s v="Low Risk"/>
  </r>
  <r>
    <s v="LP001469"/>
    <s v="Male"/>
    <s v="No"/>
    <n v="0"/>
    <x v="0"/>
    <s v="Yes"/>
    <n v="20166"/>
    <n v="0"/>
    <n v="650"/>
    <n v="480"/>
    <x v="0"/>
    <x v="0"/>
    <x v="0"/>
    <n v="20166"/>
    <s v="Very High"/>
    <x v="0"/>
    <s v="Low Risk"/>
  </r>
  <r>
    <s v="LP001473"/>
    <s v="Male"/>
    <s v="No"/>
    <n v="0"/>
    <x v="0"/>
    <s v="No"/>
    <n v="2014"/>
    <n v="1929"/>
    <n v="74"/>
    <n v="360"/>
    <x v="0"/>
    <x v="0"/>
    <x v="0"/>
    <n v="3943"/>
    <s v="Medium"/>
    <x v="0"/>
    <s v="Low Risk"/>
  </r>
  <r>
    <s v="LP001478"/>
    <s v="Male"/>
    <s v="No"/>
    <n v="0"/>
    <x v="0"/>
    <s v="No"/>
    <n v="2718"/>
    <n v="0"/>
    <n v="70"/>
    <n v="360"/>
    <x v="0"/>
    <x v="2"/>
    <x v="0"/>
    <n v="2718"/>
    <s v="Medium"/>
    <x v="0"/>
    <s v="Low Risk"/>
  </r>
  <r>
    <s v="LP001482"/>
    <s v="Male"/>
    <s v="Yes"/>
    <n v="0"/>
    <x v="0"/>
    <s v="Yes"/>
    <n v="3459"/>
    <n v="0"/>
    <n v="25"/>
    <n v="120"/>
    <x v="0"/>
    <x v="2"/>
    <x v="0"/>
    <n v="3459"/>
    <s v="Medium"/>
    <x v="0"/>
    <s v="Low Risk"/>
  </r>
  <r>
    <s v="LP001487"/>
    <s v="Male"/>
    <s v="No"/>
    <n v="0"/>
    <x v="0"/>
    <s v="No"/>
    <n v="4895"/>
    <n v="0"/>
    <n v="102"/>
    <n v="360"/>
    <x v="0"/>
    <x v="2"/>
    <x v="0"/>
    <n v="4895"/>
    <s v="Medium"/>
    <x v="0"/>
    <s v="Low Risk"/>
  </r>
  <r>
    <s v="LP001488"/>
    <s v="Male"/>
    <s v="Yes"/>
    <s v="3+"/>
    <x v="0"/>
    <s v="No"/>
    <n v="4000"/>
    <n v="7750"/>
    <n v="290"/>
    <n v="360"/>
    <x v="0"/>
    <x v="2"/>
    <x v="1"/>
    <n v="11750"/>
    <s v="Very High"/>
    <x v="1"/>
    <s v="Low Risk"/>
  </r>
  <r>
    <s v="LP001489"/>
    <s v="Female"/>
    <s v="Yes"/>
    <n v="0"/>
    <x v="0"/>
    <s v="No"/>
    <n v="4583"/>
    <n v="0"/>
    <n v="84"/>
    <n v="360"/>
    <x v="0"/>
    <x v="1"/>
    <x v="1"/>
    <n v="4583"/>
    <s v="Medium"/>
    <x v="1"/>
    <s v="Low Risk"/>
  </r>
  <r>
    <s v="LP001491"/>
    <s v="Male"/>
    <s v="Yes"/>
    <n v="2"/>
    <x v="0"/>
    <s v="Yes"/>
    <n v="3316"/>
    <n v="3500"/>
    <n v="88"/>
    <n v="360"/>
    <x v="0"/>
    <x v="0"/>
    <x v="0"/>
    <n v="6816"/>
    <s v="High"/>
    <x v="0"/>
    <s v="Low Risk"/>
  </r>
  <r>
    <s v="LP001492"/>
    <s v="Male"/>
    <s v="No"/>
    <n v="0"/>
    <x v="0"/>
    <s v="No"/>
    <n v="14999"/>
    <n v="0"/>
    <n v="242"/>
    <n v="360"/>
    <x v="1"/>
    <x v="2"/>
    <x v="1"/>
    <n v="14999"/>
    <s v="Very High"/>
    <x v="1"/>
    <s v="High Risk"/>
  </r>
  <r>
    <s v="LP001493"/>
    <s v="Male"/>
    <s v="Yes"/>
    <n v="2"/>
    <x v="1"/>
    <s v="No"/>
    <n v="4200"/>
    <n v="1430"/>
    <n v="129"/>
    <n v="360"/>
    <x v="0"/>
    <x v="1"/>
    <x v="1"/>
    <n v="5630"/>
    <s v="High"/>
    <x v="1"/>
    <s v="Low Risk"/>
  </r>
  <r>
    <s v="LP001497"/>
    <s v="Male"/>
    <s v="Yes"/>
    <n v="2"/>
    <x v="0"/>
    <s v="No"/>
    <n v="5042"/>
    <n v="2083"/>
    <n v="185"/>
    <n v="360"/>
    <x v="0"/>
    <x v="1"/>
    <x v="1"/>
    <n v="7125"/>
    <s v="High"/>
    <x v="1"/>
    <s v="Low Risk"/>
  </r>
  <r>
    <s v="LP001498"/>
    <s v="Male"/>
    <s v="No"/>
    <n v="0"/>
    <x v="0"/>
    <s v="No"/>
    <n v="5417"/>
    <n v="0"/>
    <n v="168"/>
    <n v="360"/>
    <x v="0"/>
    <x v="0"/>
    <x v="0"/>
    <n v="5417"/>
    <s v="High"/>
    <x v="0"/>
    <s v="Low Risk"/>
  </r>
  <r>
    <s v="LP001504"/>
    <s v="Male"/>
    <s v="No"/>
    <n v="0"/>
    <x v="0"/>
    <s v="Yes"/>
    <n v="6950"/>
    <n v="0"/>
    <n v="175"/>
    <n v="180"/>
    <x v="0"/>
    <x v="2"/>
    <x v="0"/>
    <n v="6950"/>
    <s v="High"/>
    <x v="0"/>
    <s v="Low Risk"/>
  </r>
  <r>
    <s v="LP001507"/>
    <s v="Male"/>
    <s v="Yes"/>
    <n v="0"/>
    <x v="0"/>
    <s v="No"/>
    <n v="2698"/>
    <n v="2034"/>
    <n v="122"/>
    <n v="360"/>
    <x v="0"/>
    <x v="2"/>
    <x v="0"/>
    <n v="4732"/>
    <s v="Medium"/>
    <x v="0"/>
    <s v="Low Risk"/>
  </r>
  <r>
    <s v="LP001508"/>
    <s v="Male"/>
    <s v="Yes"/>
    <n v="2"/>
    <x v="0"/>
    <s v="No"/>
    <n v="11757"/>
    <n v="0"/>
    <n v="187"/>
    <n v="180"/>
    <x v="0"/>
    <x v="0"/>
    <x v="0"/>
    <n v="11757"/>
    <s v="Very High"/>
    <x v="0"/>
    <s v="Low Risk"/>
  </r>
  <r>
    <s v="LP001514"/>
    <s v="Female"/>
    <s v="Yes"/>
    <n v="0"/>
    <x v="0"/>
    <s v="No"/>
    <n v="2330"/>
    <n v="4486"/>
    <n v="100"/>
    <n v="360"/>
    <x v="0"/>
    <x v="2"/>
    <x v="0"/>
    <n v="6816"/>
    <s v="High"/>
    <x v="0"/>
    <s v="Low Risk"/>
  </r>
  <r>
    <s v="LP001516"/>
    <s v="Female"/>
    <s v="Yes"/>
    <n v="2"/>
    <x v="0"/>
    <s v="No"/>
    <n v="14866"/>
    <n v="0"/>
    <n v="70"/>
    <n v="360"/>
    <x v="0"/>
    <x v="0"/>
    <x v="0"/>
    <n v="14866"/>
    <s v="Very High"/>
    <x v="0"/>
    <s v="Low Risk"/>
  </r>
  <r>
    <s v="LP001518"/>
    <s v="Male"/>
    <s v="Yes"/>
    <n v="1"/>
    <x v="0"/>
    <s v="No"/>
    <n v="1538"/>
    <n v="1425"/>
    <n v="30"/>
    <n v="360"/>
    <x v="0"/>
    <x v="0"/>
    <x v="0"/>
    <n v="2963"/>
    <s v="Medium"/>
    <x v="0"/>
    <s v="Low Risk"/>
  </r>
  <r>
    <s v="LP001519"/>
    <s v="Female"/>
    <s v="No"/>
    <n v="0"/>
    <x v="0"/>
    <s v="No"/>
    <n v="10000"/>
    <n v="1666"/>
    <n v="225"/>
    <n v="360"/>
    <x v="0"/>
    <x v="1"/>
    <x v="1"/>
    <n v="11666"/>
    <s v="Very High"/>
    <x v="1"/>
    <s v="Low Risk"/>
  </r>
  <r>
    <s v="LP001520"/>
    <s v="Male"/>
    <s v="Yes"/>
    <n v="0"/>
    <x v="0"/>
    <s v="No"/>
    <n v="4860"/>
    <n v="830"/>
    <n v="125"/>
    <n v="360"/>
    <x v="0"/>
    <x v="2"/>
    <x v="0"/>
    <n v="5690"/>
    <s v="High"/>
    <x v="0"/>
    <s v="Low Risk"/>
  </r>
  <r>
    <s v="LP001528"/>
    <s v="Male"/>
    <s v="No"/>
    <n v="0"/>
    <x v="0"/>
    <s v="No"/>
    <n v="6277"/>
    <n v="0"/>
    <n v="118"/>
    <n v="360"/>
    <x v="1"/>
    <x v="1"/>
    <x v="1"/>
    <n v="6277"/>
    <s v="High"/>
    <x v="1"/>
    <s v="High Risk"/>
  </r>
  <r>
    <s v="LP001529"/>
    <s v="Male"/>
    <s v="Yes"/>
    <n v="0"/>
    <x v="0"/>
    <s v="Yes"/>
    <n v="2577"/>
    <n v="3750"/>
    <n v="152"/>
    <n v="360"/>
    <x v="0"/>
    <x v="1"/>
    <x v="0"/>
    <n v="6327"/>
    <s v="High"/>
    <x v="0"/>
    <s v="Low Risk"/>
  </r>
  <r>
    <s v="LP001531"/>
    <s v="Male"/>
    <s v="No"/>
    <n v="0"/>
    <x v="0"/>
    <s v="No"/>
    <n v="9166"/>
    <n v="0"/>
    <n v="244"/>
    <n v="360"/>
    <x v="0"/>
    <x v="0"/>
    <x v="1"/>
    <n v="9166"/>
    <s v="High"/>
    <x v="1"/>
    <s v="Low Risk"/>
  </r>
  <r>
    <s v="LP001532"/>
    <s v="Male"/>
    <s v="Yes"/>
    <n v="2"/>
    <x v="1"/>
    <s v="No"/>
    <n v="2281"/>
    <n v="0"/>
    <n v="113"/>
    <n v="360"/>
    <x v="0"/>
    <x v="1"/>
    <x v="1"/>
    <n v="2281"/>
    <s v="Low"/>
    <x v="1"/>
    <s v="Low Risk"/>
  </r>
  <r>
    <s v="LP001535"/>
    <s v="Male"/>
    <s v="No"/>
    <n v="0"/>
    <x v="0"/>
    <s v="No"/>
    <n v="3254"/>
    <n v="0"/>
    <n v="50"/>
    <n v="360"/>
    <x v="0"/>
    <x v="0"/>
    <x v="0"/>
    <n v="3254"/>
    <s v="Medium"/>
    <x v="0"/>
    <s v="Low Risk"/>
  </r>
  <r>
    <s v="LP001536"/>
    <s v="Male"/>
    <s v="Yes"/>
    <s v="3+"/>
    <x v="0"/>
    <s v="No"/>
    <n v="39999"/>
    <n v="0"/>
    <n v="600"/>
    <n v="180"/>
    <x v="1"/>
    <x v="2"/>
    <x v="0"/>
    <n v="39999"/>
    <s v="Very High"/>
    <x v="0"/>
    <s v="High Risk"/>
  </r>
  <r>
    <s v="LP001541"/>
    <s v="Male"/>
    <s v="Yes"/>
    <n v="1"/>
    <x v="0"/>
    <s v="No"/>
    <n v="6000"/>
    <n v="0"/>
    <n v="160"/>
    <n v="360"/>
    <x v="0"/>
    <x v="1"/>
    <x v="0"/>
    <n v="6000"/>
    <s v="High"/>
    <x v="0"/>
    <s v="Low Risk"/>
  </r>
  <r>
    <s v="LP001543"/>
    <s v="Male"/>
    <s v="Yes"/>
    <n v="1"/>
    <x v="0"/>
    <s v="No"/>
    <n v="9538"/>
    <n v="0"/>
    <n v="187"/>
    <n v="360"/>
    <x v="0"/>
    <x v="0"/>
    <x v="0"/>
    <n v="9538"/>
    <s v="High"/>
    <x v="0"/>
    <s v="Low Risk"/>
  </r>
  <r>
    <s v="LP001546"/>
    <s v="Male"/>
    <s v="No"/>
    <n v="0"/>
    <x v="0"/>
    <m/>
    <n v="2980"/>
    <n v="2083"/>
    <n v="120"/>
    <n v="360"/>
    <x v="0"/>
    <x v="1"/>
    <x v="0"/>
    <n v="5063"/>
    <s v="High"/>
    <x v="0"/>
    <s v="Low Risk"/>
  </r>
  <r>
    <s v="LP001552"/>
    <s v="Male"/>
    <s v="Yes"/>
    <n v="0"/>
    <x v="0"/>
    <s v="No"/>
    <n v="4583"/>
    <n v="5625"/>
    <n v="255"/>
    <n v="360"/>
    <x v="0"/>
    <x v="2"/>
    <x v="0"/>
    <n v="10208"/>
    <s v="Very High"/>
    <x v="0"/>
    <s v="Low Risk"/>
  </r>
  <r>
    <s v="LP001560"/>
    <s v="Male"/>
    <s v="Yes"/>
    <n v="0"/>
    <x v="1"/>
    <s v="No"/>
    <n v="1863"/>
    <n v="1041"/>
    <n v="98"/>
    <n v="360"/>
    <x v="0"/>
    <x v="2"/>
    <x v="0"/>
    <n v="2904"/>
    <s v="Medium"/>
    <x v="0"/>
    <s v="Low Risk"/>
  </r>
  <r>
    <s v="LP001562"/>
    <s v="Male"/>
    <s v="Yes"/>
    <n v="0"/>
    <x v="0"/>
    <s v="No"/>
    <n v="7933"/>
    <n v="0"/>
    <n v="275"/>
    <n v="360"/>
    <x v="0"/>
    <x v="0"/>
    <x v="1"/>
    <n v="7933"/>
    <s v="High"/>
    <x v="1"/>
    <s v="Low Risk"/>
  </r>
  <r>
    <s v="LP001565"/>
    <s v="Male"/>
    <s v="Yes"/>
    <n v="1"/>
    <x v="0"/>
    <s v="No"/>
    <n v="3089"/>
    <n v="1280"/>
    <n v="121"/>
    <n v="360"/>
    <x v="1"/>
    <x v="2"/>
    <x v="1"/>
    <n v="4369"/>
    <s v="Medium"/>
    <x v="1"/>
    <s v="High Risk"/>
  </r>
  <r>
    <s v="LP001570"/>
    <s v="Male"/>
    <s v="Yes"/>
    <n v="2"/>
    <x v="0"/>
    <s v="No"/>
    <n v="4167"/>
    <n v="1447"/>
    <n v="158"/>
    <n v="360"/>
    <x v="0"/>
    <x v="1"/>
    <x v="0"/>
    <n v="5614"/>
    <s v="High"/>
    <x v="0"/>
    <s v="Low Risk"/>
  </r>
  <r>
    <s v="LP001572"/>
    <s v="Male"/>
    <s v="Yes"/>
    <n v="0"/>
    <x v="0"/>
    <s v="No"/>
    <n v="9323"/>
    <n v="0"/>
    <n v="75"/>
    <n v="180"/>
    <x v="0"/>
    <x v="0"/>
    <x v="0"/>
    <n v="9323"/>
    <s v="High"/>
    <x v="0"/>
    <s v="Low Risk"/>
  </r>
  <r>
    <s v="LP001574"/>
    <s v="Male"/>
    <s v="Yes"/>
    <n v="0"/>
    <x v="0"/>
    <s v="No"/>
    <n v="3707"/>
    <n v="3166"/>
    <n v="182"/>
    <n v="360"/>
    <x v="0"/>
    <x v="1"/>
    <x v="0"/>
    <n v="6873"/>
    <s v="High"/>
    <x v="0"/>
    <s v="Low Risk"/>
  </r>
  <r>
    <s v="LP001577"/>
    <s v="Female"/>
    <s v="Yes"/>
    <n v="0"/>
    <x v="0"/>
    <s v="No"/>
    <n v="4583"/>
    <n v="0"/>
    <n v="112"/>
    <n v="360"/>
    <x v="0"/>
    <x v="1"/>
    <x v="1"/>
    <n v="4583"/>
    <s v="Medium"/>
    <x v="1"/>
    <s v="Low Risk"/>
  </r>
  <r>
    <s v="LP001578"/>
    <s v="Male"/>
    <s v="Yes"/>
    <n v="0"/>
    <x v="0"/>
    <s v="No"/>
    <n v="2439"/>
    <n v="3333"/>
    <n v="129"/>
    <n v="360"/>
    <x v="0"/>
    <x v="1"/>
    <x v="0"/>
    <n v="5772"/>
    <s v="High"/>
    <x v="0"/>
    <s v="Low Risk"/>
  </r>
  <r>
    <s v="LP001579"/>
    <s v="Male"/>
    <s v="No"/>
    <n v="0"/>
    <x v="0"/>
    <s v="No"/>
    <n v="2237"/>
    <n v="0"/>
    <n v="63"/>
    <n v="480"/>
    <x v="1"/>
    <x v="2"/>
    <x v="1"/>
    <n v="2237"/>
    <s v="Low"/>
    <x v="1"/>
    <s v="High Risk"/>
  </r>
  <r>
    <s v="LP001580"/>
    <s v="Male"/>
    <s v="Yes"/>
    <n v="2"/>
    <x v="0"/>
    <s v="No"/>
    <n v="8000"/>
    <n v="0"/>
    <n v="200"/>
    <n v="360"/>
    <x v="0"/>
    <x v="2"/>
    <x v="0"/>
    <n v="8000"/>
    <s v="High"/>
    <x v="0"/>
    <s v="Low Risk"/>
  </r>
  <r>
    <s v="LP001581"/>
    <s v="Male"/>
    <s v="Yes"/>
    <n v="0"/>
    <x v="1"/>
    <m/>
    <n v="1820"/>
    <n v="1769"/>
    <n v="95"/>
    <n v="360"/>
    <x v="0"/>
    <x v="1"/>
    <x v="0"/>
    <n v="3589"/>
    <s v="Medium"/>
    <x v="0"/>
    <s v="Low Risk"/>
  </r>
  <r>
    <s v="LP001585"/>
    <s v="Male"/>
    <s v="Yes"/>
    <s v="3+"/>
    <x v="0"/>
    <s v="No"/>
    <n v="51763"/>
    <n v="0"/>
    <n v="700"/>
    <n v="300"/>
    <x v="0"/>
    <x v="0"/>
    <x v="0"/>
    <n v="51763"/>
    <s v="Very High"/>
    <x v="0"/>
    <s v="Low Risk"/>
  </r>
  <r>
    <s v="LP001586"/>
    <s v="Male"/>
    <s v="Yes"/>
    <s v="3+"/>
    <x v="1"/>
    <s v="No"/>
    <n v="3522"/>
    <n v="0"/>
    <n v="81"/>
    <n v="180"/>
    <x v="0"/>
    <x v="1"/>
    <x v="1"/>
    <n v="3522"/>
    <s v="Medium"/>
    <x v="1"/>
    <s v="Low Risk"/>
  </r>
  <r>
    <s v="LP001594"/>
    <s v="Male"/>
    <s v="Yes"/>
    <n v="0"/>
    <x v="0"/>
    <s v="No"/>
    <n v="5708"/>
    <n v="5625"/>
    <n v="187"/>
    <n v="360"/>
    <x v="0"/>
    <x v="2"/>
    <x v="0"/>
    <n v="11333"/>
    <s v="Very High"/>
    <x v="0"/>
    <s v="Low Risk"/>
  </r>
  <r>
    <s v="LP001603"/>
    <s v="Male"/>
    <s v="Yes"/>
    <n v="0"/>
    <x v="1"/>
    <s v="Yes"/>
    <n v="4344"/>
    <n v="736"/>
    <n v="87"/>
    <n v="360"/>
    <x v="0"/>
    <x v="2"/>
    <x v="1"/>
    <n v="5080"/>
    <s v="High"/>
    <x v="1"/>
    <s v="Low Risk"/>
  </r>
  <r>
    <s v="LP001606"/>
    <s v="Male"/>
    <s v="Yes"/>
    <n v="0"/>
    <x v="0"/>
    <s v="No"/>
    <n v="3497"/>
    <n v="1964"/>
    <n v="116"/>
    <n v="360"/>
    <x v="0"/>
    <x v="1"/>
    <x v="0"/>
    <n v="5461"/>
    <s v="High"/>
    <x v="0"/>
    <s v="Low Risk"/>
  </r>
  <r>
    <s v="LP001608"/>
    <s v="Male"/>
    <s v="Yes"/>
    <n v="2"/>
    <x v="0"/>
    <s v="No"/>
    <n v="2045"/>
    <n v="1619"/>
    <n v="101"/>
    <n v="360"/>
    <x v="0"/>
    <x v="1"/>
    <x v="0"/>
    <n v="3664"/>
    <s v="Medium"/>
    <x v="0"/>
    <s v="Low Risk"/>
  </r>
  <r>
    <s v="LP001610"/>
    <s v="Male"/>
    <s v="Yes"/>
    <s v="3+"/>
    <x v="0"/>
    <s v="No"/>
    <n v="5516"/>
    <n v="11300"/>
    <n v="495"/>
    <n v="360"/>
    <x v="1"/>
    <x v="2"/>
    <x v="1"/>
    <n v="16816"/>
    <s v="Very High"/>
    <x v="1"/>
    <s v="High Risk"/>
  </r>
  <r>
    <s v="LP001616"/>
    <s v="Male"/>
    <s v="Yes"/>
    <n v="1"/>
    <x v="0"/>
    <s v="No"/>
    <n v="3750"/>
    <n v="0"/>
    <n v="116"/>
    <n v="360"/>
    <x v="0"/>
    <x v="2"/>
    <x v="0"/>
    <n v="3750"/>
    <s v="Medium"/>
    <x v="0"/>
    <s v="Low Risk"/>
  </r>
  <r>
    <s v="LP001630"/>
    <s v="Male"/>
    <s v="No"/>
    <n v="0"/>
    <x v="1"/>
    <s v="No"/>
    <n v="2333"/>
    <n v="1451"/>
    <n v="102"/>
    <n v="480"/>
    <x v="1"/>
    <x v="0"/>
    <x v="1"/>
    <n v="3784"/>
    <s v="Medium"/>
    <x v="1"/>
    <s v="High Risk"/>
  </r>
  <r>
    <s v="LP001633"/>
    <s v="Male"/>
    <s v="Yes"/>
    <n v="1"/>
    <x v="0"/>
    <s v="No"/>
    <n v="6400"/>
    <n v="7250"/>
    <n v="180"/>
    <n v="360"/>
    <x v="1"/>
    <x v="0"/>
    <x v="1"/>
    <n v="13650"/>
    <s v="Very High"/>
    <x v="1"/>
    <s v="High Risk"/>
  </r>
  <r>
    <s v="LP001634"/>
    <s v="Male"/>
    <s v="No"/>
    <n v="0"/>
    <x v="0"/>
    <s v="No"/>
    <n v="1916"/>
    <n v="5063"/>
    <n v="67"/>
    <n v="360"/>
    <x v="0"/>
    <x v="1"/>
    <x v="1"/>
    <n v="6979"/>
    <s v="High"/>
    <x v="1"/>
    <s v="Low Risk"/>
  </r>
  <r>
    <s v="LP001636"/>
    <s v="Male"/>
    <s v="Yes"/>
    <n v="0"/>
    <x v="0"/>
    <s v="No"/>
    <n v="4600"/>
    <n v="0"/>
    <n v="73"/>
    <n v="180"/>
    <x v="0"/>
    <x v="2"/>
    <x v="0"/>
    <n v="4600"/>
    <s v="Medium"/>
    <x v="0"/>
    <s v="Low Risk"/>
  </r>
  <r>
    <s v="LP001637"/>
    <s v="Male"/>
    <s v="Yes"/>
    <n v="1"/>
    <x v="0"/>
    <s v="No"/>
    <n v="33846"/>
    <n v="0"/>
    <n v="260"/>
    <n v="360"/>
    <x v="0"/>
    <x v="2"/>
    <x v="1"/>
    <n v="33846"/>
    <s v="Very High"/>
    <x v="1"/>
    <s v="Low Risk"/>
  </r>
  <r>
    <s v="LP001639"/>
    <s v="Female"/>
    <s v="Yes"/>
    <n v="0"/>
    <x v="0"/>
    <s v="No"/>
    <n v="3625"/>
    <n v="0"/>
    <n v="108"/>
    <n v="360"/>
    <x v="0"/>
    <x v="2"/>
    <x v="0"/>
    <n v="3625"/>
    <s v="Medium"/>
    <x v="0"/>
    <s v="Low Risk"/>
  </r>
  <r>
    <s v="LP001640"/>
    <s v="Male"/>
    <s v="Yes"/>
    <n v="0"/>
    <x v="0"/>
    <s v="Yes"/>
    <n v="39147"/>
    <n v="4750"/>
    <n v="120"/>
    <n v="360"/>
    <x v="0"/>
    <x v="2"/>
    <x v="0"/>
    <n v="43897"/>
    <s v="Very High"/>
    <x v="0"/>
    <s v="Low Risk"/>
  </r>
  <r>
    <s v="LP001641"/>
    <s v="Male"/>
    <s v="Yes"/>
    <n v="1"/>
    <x v="0"/>
    <s v="Yes"/>
    <n v="2178"/>
    <n v="0"/>
    <n v="66"/>
    <n v="300"/>
    <x v="1"/>
    <x v="1"/>
    <x v="1"/>
    <n v="2178"/>
    <s v="Low"/>
    <x v="1"/>
    <s v="High Risk"/>
  </r>
  <r>
    <s v="LP001643"/>
    <s v="Male"/>
    <s v="Yes"/>
    <n v="0"/>
    <x v="0"/>
    <s v="No"/>
    <n v="2383"/>
    <n v="2138"/>
    <n v="58"/>
    <n v="360"/>
    <x v="0"/>
    <x v="1"/>
    <x v="0"/>
    <n v="4521"/>
    <s v="Medium"/>
    <x v="0"/>
    <s v="Low Risk"/>
  </r>
  <r>
    <s v="LP001644"/>
    <s v="Male"/>
    <s v="Yes"/>
    <n v="0"/>
    <x v="0"/>
    <s v="Yes"/>
    <n v="674"/>
    <n v="5296"/>
    <n v="168"/>
    <n v="360"/>
    <x v="0"/>
    <x v="1"/>
    <x v="0"/>
    <n v="5970"/>
    <s v="High"/>
    <x v="0"/>
    <s v="Low Risk"/>
  </r>
  <r>
    <s v="LP001647"/>
    <s v="Male"/>
    <s v="Yes"/>
    <n v="0"/>
    <x v="0"/>
    <s v="No"/>
    <n v="9328"/>
    <n v="0"/>
    <n v="188"/>
    <n v="180"/>
    <x v="0"/>
    <x v="1"/>
    <x v="0"/>
    <n v="9328"/>
    <s v="High"/>
    <x v="0"/>
    <s v="Low Risk"/>
  </r>
  <r>
    <s v="LP001653"/>
    <s v="Male"/>
    <s v="No"/>
    <n v="0"/>
    <x v="1"/>
    <s v="No"/>
    <n v="4885"/>
    <n v="0"/>
    <n v="48"/>
    <n v="360"/>
    <x v="0"/>
    <x v="1"/>
    <x v="0"/>
    <n v="4885"/>
    <s v="Medium"/>
    <x v="0"/>
    <s v="Low Risk"/>
  </r>
  <r>
    <s v="LP001656"/>
    <s v="Male"/>
    <s v="No"/>
    <n v="0"/>
    <x v="0"/>
    <s v="No"/>
    <n v="12000"/>
    <n v="0"/>
    <n v="164"/>
    <n v="360"/>
    <x v="0"/>
    <x v="2"/>
    <x v="1"/>
    <n v="12000"/>
    <s v="Very High"/>
    <x v="1"/>
    <s v="Low Risk"/>
  </r>
  <r>
    <s v="LP001657"/>
    <s v="Male"/>
    <s v="Yes"/>
    <n v="0"/>
    <x v="1"/>
    <s v="No"/>
    <n v="6033"/>
    <n v="0"/>
    <n v="160"/>
    <n v="360"/>
    <x v="0"/>
    <x v="0"/>
    <x v="1"/>
    <n v="6033"/>
    <s v="High"/>
    <x v="1"/>
    <s v="Low Risk"/>
  </r>
  <r>
    <s v="LP001658"/>
    <s v="Male"/>
    <s v="No"/>
    <n v="0"/>
    <x v="0"/>
    <s v="No"/>
    <n v="3858"/>
    <n v="0"/>
    <n v="76"/>
    <n v="360"/>
    <x v="0"/>
    <x v="2"/>
    <x v="0"/>
    <n v="3858"/>
    <s v="Medium"/>
    <x v="0"/>
    <s v="Low Risk"/>
  </r>
  <r>
    <s v="LP001664"/>
    <s v="Male"/>
    <s v="No"/>
    <n v="0"/>
    <x v="0"/>
    <s v="No"/>
    <n v="4191"/>
    <n v="0"/>
    <n v="120"/>
    <n v="360"/>
    <x v="0"/>
    <x v="1"/>
    <x v="0"/>
    <n v="4191"/>
    <s v="Medium"/>
    <x v="0"/>
    <s v="Low Risk"/>
  </r>
  <r>
    <s v="LP001665"/>
    <s v="Male"/>
    <s v="Yes"/>
    <n v="1"/>
    <x v="0"/>
    <s v="No"/>
    <n v="3125"/>
    <n v="2583"/>
    <n v="170"/>
    <n v="360"/>
    <x v="0"/>
    <x v="2"/>
    <x v="1"/>
    <n v="5708"/>
    <s v="High"/>
    <x v="1"/>
    <s v="Low Risk"/>
  </r>
  <r>
    <s v="LP001666"/>
    <s v="Male"/>
    <s v="No"/>
    <n v="0"/>
    <x v="0"/>
    <s v="No"/>
    <n v="8333"/>
    <n v="3750"/>
    <n v="187"/>
    <n v="360"/>
    <x v="0"/>
    <x v="1"/>
    <x v="0"/>
    <n v="12083"/>
    <s v="Very High"/>
    <x v="0"/>
    <s v="Low Risk"/>
  </r>
  <r>
    <s v="LP001669"/>
    <s v="Female"/>
    <s v="No"/>
    <n v="0"/>
    <x v="1"/>
    <s v="No"/>
    <n v="1907"/>
    <n v="2365"/>
    <n v="120"/>
    <n v="360"/>
    <x v="0"/>
    <x v="0"/>
    <x v="0"/>
    <n v="4272"/>
    <s v="Medium"/>
    <x v="0"/>
    <s v="Low Risk"/>
  </r>
  <r>
    <s v="LP001671"/>
    <s v="Female"/>
    <s v="Yes"/>
    <n v="0"/>
    <x v="0"/>
    <s v="No"/>
    <n v="3416"/>
    <n v="2816"/>
    <n v="113"/>
    <n v="360"/>
    <x v="0"/>
    <x v="2"/>
    <x v="0"/>
    <n v="6232"/>
    <s v="High"/>
    <x v="0"/>
    <s v="Low Risk"/>
  </r>
  <r>
    <s v="LP001673"/>
    <s v="Male"/>
    <s v="No"/>
    <n v="0"/>
    <x v="0"/>
    <s v="Yes"/>
    <n v="11000"/>
    <n v="0"/>
    <n v="83"/>
    <n v="360"/>
    <x v="0"/>
    <x v="0"/>
    <x v="1"/>
    <n v="11000"/>
    <s v="Very High"/>
    <x v="1"/>
    <s v="Low Risk"/>
  </r>
  <r>
    <s v="LP001674"/>
    <s v="Male"/>
    <s v="Yes"/>
    <n v="1"/>
    <x v="1"/>
    <s v="No"/>
    <n v="2600"/>
    <n v="2500"/>
    <n v="90"/>
    <n v="360"/>
    <x v="0"/>
    <x v="2"/>
    <x v="0"/>
    <n v="5100"/>
    <s v="High"/>
    <x v="0"/>
    <s v="Low Risk"/>
  </r>
  <r>
    <s v="LP001677"/>
    <s v="Male"/>
    <s v="No"/>
    <n v="2"/>
    <x v="0"/>
    <s v="No"/>
    <n v="4923"/>
    <n v="0"/>
    <n v="166"/>
    <n v="360"/>
    <x v="1"/>
    <x v="2"/>
    <x v="0"/>
    <n v="4923"/>
    <s v="Medium"/>
    <x v="0"/>
    <s v="High Risk"/>
  </r>
  <r>
    <s v="LP001682"/>
    <s v="Male"/>
    <s v="Yes"/>
    <s v="3+"/>
    <x v="1"/>
    <s v="No"/>
    <n v="3992"/>
    <n v="0"/>
    <n v="128"/>
    <n v="180"/>
    <x v="0"/>
    <x v="0"/>
    <x v="1"/>
    <n v="3992"/>
    <s v="Medium"/>
    <x v="1"/>
    <s v="Low Risk"/>
  </r>
  <r>
    <s v="LP001688"/>
    <s v="Male"/>
    <s v="Yes"/>
    <n v="1"/>
    <x v="1"/>
    <s v="No"/>
    <n v="3500"/>
    <n v="1083"/>
    <n v="135"/>
    <n v="360"/>
    <x v="0"/>
    <x v="0"/>
    <x v="0"/>
    <n v="4583"/>
    <s v="Medium"/>
    <x v="0"/>
    <s v="Low Risk"/>
  </r>
  <r>
    <s v="LP001691"/>
    <s v="Male"/>
    <s v="Yes"/>
    <n v="2"/>
    <x v="1"/>
    <s v="No"/>
    <n v="3917"/>
    <n v="0"/>
    <n v="124"/>
    <n v="360"/>
    <x v="0"/>
    <x v="2"/>
    <x v="0"/>
    <n v="3917"/>
    <s v="Medium"/>
    <x v="0"/>
    <s v="Low Risk"/>
  </r>
  <r>
    <s v="LP001692"/>
    <s v="Female"/>
    <s v="No"/>
    <n v="0"/>
    <x v="1"/>
    <s v="No"/>
    <n v="4408"/>
    <n v="0"/>
    <n v="120"/>
    <n v="360"/>
    <x v="0"/>
    <x v="2"/>
    <x v="0"/>
    <n v="4408"/>
    <s v="Medium"/>
    <x v="0"/>
    <s v="Low Risk"/>
  </r>
  <r>
    <s v="LP001693"/>
    <s v="Female"/>
    <s v="No"/>
    <n v="0"/>
    <x v="0"/>
    <s v="No"/>
    <n v="3244"/>
    <n v="0"/>
    <n v="80"/>
    <n v="360"/>
    <x v="0"/>
    <x v="0"/>
    <x v="0"/>
    <n v="3244"/>
    <s v="Medium"/>
    <x v="0"/>
    <s v="Low Risk"/>
  </r>
  <r>
    <s v="LP001698"/>
    <s v="Male"/>
    <s v="No"/>
    <n v="0"/>
    <x v="1"/>
    <s v="No"/>
    <n v="3975"/>
    <n v="2531"/>
    <n v="55"/>
    <n v="360"/>
    <x v="0"/>
    <x v="1"/>
    <x v="0"/>
    <n v="6506"/>
    <s v="High"/>
    <x v="0"/>
    <s v="Low Risk"/>
  </r>
  <r>
    <s v="LP001699"/>
    <s v="Male"/>
    <s v="No"/>
    <n v="0"/>
    <x v="0"/>
    <s v="No"/>
    <n v="2479"/>
    <n v="0"/>
    <n v="59"/>
    <n v="360"/>
    <x v="0"/>
    <x v="0"/>
    <x v="0"/>
    <n v="2479"/>
    <s v="Low"/>
    <x v="0"/>
    <s v="Low Risk"/>
  </r>
  <r>
    <s v="LP001702"/>
    <s v="Male"/>
    <s v="No"/>
    <n v="0"/>
    <x v="0"/>
    <s v="No"/>
    <n v="3418"/>
    <n v="0"/>
    <n v="127"/>
    <n v="360"/>
    <x v="0"/>
    <x v="2"/>
    <x v="1"/>
    <n v="3418"/>
    <s v="Medium"/>
    <x v="1"/>
    <s v="Low Risk"/>
  </r>
  <r>
    <s v="LP001708"/>
    <s v="Female"/>
    <s v="No"/>
    <n v="0"/>
    <x v="0"/>
    <s v="No"/>
    <n v="10000"/>
    <n v="0"/>
    <n v="214"/>
    <n v="360"/>
    <x v="0"/>
    <x v="2"/>
    <x v="1"/>
    <n v="10000"/>
    <s v="Very High"/>
    <x v="1"/>
    <s v="Low Risk"/>
  </r>
  <r>
    <s v="LP001711"/>
    <s v="Male"/>
    <s v="Yes"/>
    <s v="3+"/>
    <x v="0"/>
    <s v="No"/>
    <n v="3430"/>
    <n v="1250"/>
    <n v="128"/>
    <n v="360"/>
    <x v="1"/>
    <x v="2"/>
    <x v="1"/>
    <n v="4680"/>
    <s v="Medium"/>
    <x v="1"/>
    <s v="High Risk"/>
  </r>
  <r>
    <s v="LP001713"/>
    <s v="Male"/>
    <s v="Yes"/>
    <n v="1"/>
    <x v="0"/>
    <s v="Yes"/>
    <n v="7787"/>
    <n v="0"/>
    <n v="240"/>
    <n v="360"/>
    <x v="0"/>
    <x v="0"/>
    <x v="0"/>
    <n v="7787"/>
    <s v="High"/>
    <x v="0"/>
    <s v="Low Risk"/>
  </r>
  <r>
    <s v="LP001715"/>
    <s v="Male"/>
    <s v="Yes"/>
    <s v="3+"/>
    <x v="1"/>
    <s v="Yes"/>
    <n v="5703"/>
    <n v="0"/>
    <n v="130"/>
    <n v="360"/>
    <x v="0"/>
    <x v="1"/>
    <x v="0"/>
    <n v="5703"/>
    <s v="High"/>
    <x v="0"/>
    <s v="Low Risk"/>
  </r>
  <r>
    <s v="LP001716"/>
    <s v="Male"/>
    <s v="Yes"/>
    <n v="0"/>
    <x v="0"/>
    <s v="No"/>
    <n v="3173"/>
    <n v="3021"/>
    <n v="137"/>
    <n v="360"/>
    <x v="0"/>
    <x v="0"/>
    <x v="0"/>
    <n v="6194"/>
    <s v="High"/>
    <x v="0"/>
    <s v="Low Risk"/>
  </r>
  <r>
    <s v="LP001720"/>
    <s v="Male"/>
    <s v="Yes"/>
    <s v="3+"/>
    <x v="1"/>
    <s v="No"/>
    <n v="3850"/>
    <n v="983"/>
    <n v="100"/>
    <n v="360"/>
    <x v="0"/>
    <x v="2"/>
    <x v="0"/>
    <n v="4833"/>
    <s v="Medium"/>
    <x v="0"/>
    <s v="Low Risk"/>
  </r>
  <r>
    <s v="LP001722"/>
    <s v="Male"/>
    <s v="Yes"/>
    <n v="0"/>
    <x v="0"/>
    <s v="No"/>
    <n v="150"/>
    <n v="1800"/>
    <n v="135"/>
    <n v="360"/>
    <x v="0"/>
    <x v="1"/>
    <x v="1"/>
    <n v="1950"/>
    <s v="Low"/>
    <x v="1"/>
    <s v="Low Risk"/>
  </r>
  <r>
    <s v="LP001726"/>
    <s v="Male"/>
    <s v="Yes"/>
    <n v="0"/>
    <x v="0"/>
    <s v="No"/>
    <n v="3727"/>
    <n v="1775"/>
    <n v="131"/>
    <n v="360"/>
    <x v="0"/>
    <x v="2"/>
    <x v="0"/>
    <n v="5502"/>
    <s v="High"/>
    <x v="0"/>
    <s v="Low Risk"/>
  </r>
  <r>
    <s v="LP001732"/>
    <s v="Male"/>
    <s v="Yes"/>
    <n v="2"/>
    <x v="0"/>
    <m/>
    <n v="5000"/>
    <n v="0"/>
    <n v="72"/>
    <n v="360"/>
    <x v="1"/>
    <x v="2"/>
    <x v="1"/>
    <n v="5000"/>
    <s v="High"/>
    <x v="1"/>
    <s v="High Risk"/>
  </r>
  <r>
    <s v="LP001734"/>
    <s v="Female"/>
    <s v="Yes"/>
    <n v="2"/>
    <x v="0"/>
    <s v="No"/>
    <n v="4283"/>
    <n v="2383"/>
    <n v="127"/>
    <n v="360"/>
    <x v="0"/>
    <x v="2"/>
    <x v="0"/>
    <n v="6666"/>
    <s v="High"/>
    <x v="0"/>
    <s v="Low Risk"/>
  </r>
  <r>
    <s v="LP001736"/>
    <s v="Male"/>
    <s v="Yes"/>
    <n v="0"/>
    <x v="0"/>
    <s v="No"/>
    <n v="2221"/>
    <n v="0"/>
    <n v="60"/>
    <n v="360"/>
    <x v="1"/>
    <x v="0"/>
    <x v="1"/>
    <n v="2221"/>
    <s v="Low"/>
    <x v="1"/>
    <s v="High Risk"/>
  </r>
  <r>
    <s v="LP001743"/>
    <s v="Male"/>
    <s v="Yes"/>
    <n v="2"/>
    <x v="0"/>
    <s v="No"/>
    <n v="4009"/>
    <n v="1717"/>
    <n v="116"/>
    <n v="360"/>
    <x v="0"/>
    <x v="2"/>
    <x v="0"/>
    <n v="5726"/>
    <s v="High"/>
    <x v="0"/>
    <s v="Low Risk"/>
  </r>
  <r>
    <s v="LP001744"/>
    <s v="Male"/>
    <s v="No"/>
    <n v="0"/>
    <x v="0"/>
    <s v="No"/>
    <n v="2971"/>
    <n v="2791"/>
    <n v="144"/>
    <n v="360"/>
    <x v="0"/>
    <x v="2"/>
    <x v="0"/>
    <n v="5762"/>
    <s v="High"/>
    <x v="0"/>
    <s v="Low Risk"/>
  </r>
  <r>
    <s v="LP001749"/>
    <s v="Male"/>
    <s v="Yes"/>
    <n v="0"/>
    <x v="0"/>
    <s v="No"/>
    <n v="7578"/>
    <n v="1010"/>
    <n v="175"/>
    <n v="360"/>
    <x v="0"/>
    <x v="2"/>
    <x v="0"/>
    <n v="8588"/>
    <s v="High"/>
    <x v="0"/>
    <s v="Low Risk"/>
  </r>
  <r>
    <s v="LP001750"/>
    <s v="Male"/>
    <s v="Yes"/>
    <n v="0"/>
    <x v="0"/>
    <s v="No"/>
    <n v="6250"/>
    <n v="0"/>
    <n v="128"/>
    <n v="360"/>
    <x v="0"/>
    <x v="2"/>
    <x v="0"/>
    <n v="6250"/>
    <s v="High"/>
    <x v="0"/>
    <s v="Low Risk"/>
  </r>
  <r>
    <s v="LP001751"/>
    <s v="Male"/>
    <s v="Yes"/>
    <n v="0"/>
    <x v="0"/>
    <s v="No"/>
    <n v="3250"/>
    <n v="0"/>
    <n v="170"/>
    <n v="360"/>
    <x v="0"/>
    <x v="1"/>
    <x v="1"/>
    <n v="3250"/>
    <s v="Medium"/>
    <x v="1"/>
    <s v="Low Risk"/>
  </r>
  <r>
    <s v="LP001754"/>
    <s v="Male"/>
    <s v="Yes"/>
    <n v="0"/>
    <x v="1"/>
    <s v="Yes"/>
    <n v="4735"/>
    <n v="0"/>
    <n v="138"/>
    <n v="360"/>
    <x v="0"/>
    <x v="0"/>
    <x v="1"/>
    <n v="4735"/>
    <s v="Medium"/>
    <x v="1"/>
    <s v="Low Risk"/>
  </r>
  <r>
    <s v="LP001758"/>
    <s v="Male"/>
    <s v="Yes"/>
    <n v="2"/>
    <x v="0"/>
    <s v="No"/>
    <n v="6250"/>
    <n v="1695"/>
    <n v="210"/>
    <n v="360"/>
    <x v="0"/>
    <x v="2"/>
    <x v="0"/>
    <n v="7945"/>
    <s v="High"/>
    <x v="0"/>
    <s v="Low Risk"/>
  </r>
  <r>
    <s v="LP001760"/>
    <s v="Male"/>
    <s v="Yes"/>
    <n v="0"/>
    <x v="0"/>
    <s v="No"/>
    <n v="4758"/>
    <n v="0"/>
    <n v="158"/>
    <n v="480"/>
    <x v="0"/>
    <x v="2"/>
    <x v="0"/>
    <n v="4758"/>
    <s v="Medium"/>
    <x v="0"/>
    <s v="Low Risk"/>
  </r>
  <r>
    <s v="LP001761"/>
    <s v="Male"/>
    <s v="No"/>
    <n v="0"/>
    <x v="0"/>
    <s v="Yes"/>
    <n v="6400"/>
    <n v="0"/>
    <n v="200"/>
    <n v="360"/>
    <x v="0"/>
    <x v="1"/>
    <x v="0"/>
    <n v="6400"/>
    <s v="High"/>
    <x v="0"/>
    <s v="Low Risk"/>
  </r>
  <r>
    <s v="LP001765"/>
    <s v="Male"/>
    <s v="Yes"/>
    <n v="1"/>
    <x v="0"/>
    <s v="No"/>
    <n v="2491"/>
    <n v="2054"/>
    <n v="104"/>
    <n v="360"/>
    <x v="0"/>
    <x v="2"/>
    <x v="0"/>
    <n v="4545"/>
    <s v="Medium"/>
    <x v="0"/>
    <s v="Low Risk"/>
  </r>
  <r>
    <s v="LP001768"/>
    <s v="Male"/>
    <s v="Yes"/>
    <n v="0"/>
    <x v="0"/>
    <m/>
    <n v="3716"/>
    <n v="0"/>
    <n v="42"/>
    <n v="180"/>
    <x v="0"/>
    <x v="1"/>
    <x v="0"/>
    <n v="3716"/>
    <s v="Medium"/>
    <x v="0"/>
    <s v="Low Risk"/>
  </r>
  <r>
    <s v="LP001770"/>
    <s v="Male"/>
    <s v="No"/>
    <n v="0"/>
    <x v="1"/>
    <s v="No"/>
    <n v="3189"/>
    <n v="2598"/>
    <n v="120"/>
    <n v="360"/>
    <x v="0"/>
    <x v="1"/>
    <x v="0"/>
    <n v="5787"/>
    <s v="High"/>
    <x v="0"/>
    <s v="Low Risk"/>
  </r>
  <r>
    <s v="LP001776"/>
    <s v="Female"/>
    <s v="No"/>
    <n v="0"/>
    <x v="0"/>
    <s v="No"/>
    <n v="8333"/>
    <n v="0"/>
    <n v="280"/>
    <n v="360"/>
    <x v="0"/>
    <x v="2"/>
    <x v="0"/>
    <n v="8333"/>
    <s v="High"/>
    <x v="0"/>
    <s v="Low Risk"/>
  </r>
  <r>
    <s v="LP001778"/>
    <s v="Male"/>
    <s v="Yes"/>
    <n v="1"/>
    <x v="0"/>
    <s v="No"/>
    <n v="3155"/>
    <n v="1779"/>
    <n v="140"/>
    <n v="360"/>
    <x v="0"/>
    <x v="2"/>
    <x v="0"/>
    <n v="4934"/>
    <s v="Medium"/>
    <x v="0"/>
    <s v="Low Risk"/>
  </r>
  <r>
    <s v="LP001784"/>
    <s v="Male"/>
    <s v="Yes"/>
    <n v="1"/>
    <x v="0"/>
    <s v="No"/>
    <n v="5500"/>
    <n v="1260"/>
    <n v="170"/>
    <n v="360"/>
    <x v="0"/>
    <x v="1"/>
    <x v="0"/>
    <n v="6760"/>
    <s v="High"/>
    <x v="0"/>
    <s v="Low Risk"/>
  </r>
  <r>
    <s v="LP001786"/>
    <s v="Male"/>
    <s v="Yes"/>
    <n v="0"/>
    <x v="0"/>
    <m/>
    <n v="5746"/>
    <n v="0"/>
    <n v="255"/>
    <n v="360"/>
    <x v="0"/>
    <x v="0"/>
    <x v="1"/>
    <n v="5746"/>
    <s v="High"/>
    <x v="1"/>
    <s v="Low Risk"/>
  </r>
  <r>
    <s v="LP001788"/>
    <s v="Female"/>
    <s v="No"/>
    <n v="0"/>
    <x v="0"/>
    <s v="Yes"/>
    <n v="3463"/>
    <n v="0"/>
    <n v="122"/>
    <n v="360"/>
    <x v="0"/>
    <x v="0"/>
    <x v="0"/>
    <n v="3463"/>
    <s v="Medium"/>
    <x v="0"/>
    <s v="Low Risk"/>
  </r>
  <r>
    <s v="LP001790"/>
    <s v="Female"/>
    <s v="No"/>
    <n v="1"/>
    <x v="0"/>
    <s v="No"/>
    <n v="3812"/>
    <n v="0"/>
    <n v="112"/>
    <n v="360"/>
    <x v="0"/>
    <x v="1"/>
    <x v="0"/>
    <n v="3812"/>
    <s v="Medium"/>
    <x v="0"/>
    <s v="Low Risk"/>
  </r>
  <r>
    <s v="LP001792"/>
    <s v="Male"/>
    <s v="Yes"/>
    <n v="1"/>
    <x v="0"/>
    <s v="No"/>
    <n v="3315"/>
    <n v="0"/>
    <n v="96"/>
    <n v="360"/>
    <x v="0"/>
    <x v="2"/>
    <x v="0"/>
    <n v="3315"/>
    <s v="Medium"/>
    <x v="0"/>
    <s v="Low Risk"/>
  </r>
  <r>
    <s v="LP001798"/>
    <s v="Male"/>
    <s v="Yes"/>
    <n v="2"/>
    <x v="0"/>
    <s v="No"/>
    <n v="5819"/>
    <n v="5000"/>
    <n v="120"/>
    <n v="360"/>
    <x v="0"/>
    <x v="1"/>
    <x v="0"/>
    <n v="10819"/>
    <s v="Very High"/>
    <x v="0"/>
    <s v="Low Risk"/>
  </r>
  <r>
    <s v="LP001800"/>
    <s v="Male"/>
    <s v="Yes"/>
    <n v="1"/>
    <x v="1"/>
    <s v="No"/>
    <n v="2510"/>
    <n v="1983"/>
    <n v="140"/>
    <n v="180"/>
    <x v="0"/>
    <x v="0"/>
    <x v="1"/>
    <n v="4493"/>
    <s v="Medium"/>
    <x v="1"/>
    <s v="Low Risk"/>
  </r>
  <r>
    <s v="LP001806"/>
    <s v="Male"/>
    <s v="No"/>
    <n v="0"/>
    <x v="0"/>
    <s v="No"/>
    <n v="2965"/>
    <n v="5701"/>
    <n v="155"/>
    <n v="60"/>
    <x v="0"/>
    <x v="0"/>
    <x v="0"/>
    <n v="8666"/>
    <s v="High"/>
    <x v="0"/>
    <s v="Low Risk"/>
  </r>
  <r>
    <s v="LP001807"/>
    <s v="Male"/>
    <s v="Yes"/>
    <n v="2"/>
    <x v="0"/>
    <s v="Yes"/>
    <n v="6250"/>
    <n v="1300"/>
    <n v="108"/>
    <n v="360"/>
    <x v="0"/>
    <x v="1"/>
    <x v="0"/>
    <n v="7550"/>
    <s v="High"/>
    <x v="0"/>
    <s v="Low Risk"/>
  </r>
  <r>
    <s v="LP001811"/>
    <s v="Male"/>
    <s v="Yes"/>
    <n v="0"/>
    <x v="1"/>
    <s v="No"/>
    <n v="3406"/>
    <n v="4417"/>
    <n v="123"/>
    <n v="360"/>
    <x v="0"/>
    <x v="2"/>
    <x v="0"/>
    <n v="7823"/>
    <s v="High"/>
    <x v="0"/>
    <s v="Low Risk"/>
  </r>
  <r>
    <s v="LP001813"/>
    <s v="Male"/>
    <s v="No"/>
    <n v="0"/>
    <x v="0"/>
    <s v="Yes"/>
    <n v="6050"/>
    <n v="4333"/>
    <n v="120"/>
    <n v="180"/>
    <x v="0"/>
    <x v="0"/>
    <x v="1"/>
    <n v="10383"/>
    <s v="Very High"/>
    <x v="1"/>
    <s v="Low Risk"/>
  </r>
  <r>
    <s v="LP001814"/>
    <s v="Male"/>
    <s v="Yes"/>
    <n v="2"/>
    <x v="0"/>
    <s v="No"/>
    <n v="9703"/>
    <n v="0"/>
    <n v="112"/>
    <n v="360"/>
    <x v="0"/>
    <x v="0"/>
    <x v="0"/>
    <n v="9703"/>
    <s v="High"/>
    <x v="0"/>
    <s v="Low Risk"/>
  </r>
  <r>
    <s v="LP001819"/>
    <s v="Male"/>
    <s v="Yes"/>
    <n v="1"/>
    <x v="1"/>
    <s v="No"/>
    <n v="6608"/>
    <n v="0"/>
    <n v="137"/>
    <n v="180"/>
    <x v="0"/>
    <x v="0"/>
    <x v="0"/>
    <n v="6608"/>
    <s v="High"/>
    <x v="0"/>
    <s v="Low Risk"/>
  </r>
  <r>
    <s v="LP001824"/>
    <s v="Male"/>
    <s v="Yes"/>
    <n v="1"/>
    <x v="0"/>
    <s v="No"/>
    <n v="2882"/>
    <n v="1843"/>
    <n v="123"/>
    <n v="480"/>
    <x v="0"/>
    <x v="2"/>
    <x v="0"/>
    <n v="4725"/>
    <s v="Medium"/>
    <x v="0"/>
    <s v="Low Risk"/>
  </r>
  <r>
    <s v="LP001825"/>
    <s v="Male"/>
    <s v="Yes"/>
    <n v="0"/>
    <x v="0"/>
    <s v="No"/>
    <n v="1809"/>
    <n v="1868"/>
    <n v="90"/>
    <n v="360"/>
    <x v="0"/>
    <x v="0"/>
    <x v="0"/>
    <n v="3677"/>
    <s v="Medium"/>
    <x v="0"/>
    <s v="Low Risk"/>
  </r>
  <r>
    <s v="LP001835"/>
    <s v="Male"/>
    <s v="Yes"/>
    <n v="0"/>
    <x v="1"/>
    <s v="No"/>
    <n v="1668"/>
    <n v="3890"/>
    <n v="201"/>
    <n v="360"/>
    <x v="1"/>
    <x v="2"/>
    <x v="1"/>
    <n v="5558"/>
    <s v="High"/>
    <x v="1"/>
    <s v="High Risk"/>
  </r>
  <r>
    <s v="LP001836"/>
    <s v="Female"/>
    <s v="No"/>
    <n v="2"/>
    <x v="0"/>
    <s v="No"/>
    <n v="3427"/>
    <n v="0"/>
    <n v="138"/>
    <n v="360"/>
    <x v="0"/>
    <x v="0"/>
    <x v="1"/>
    <n v="3427"/>
    <s v="Medium"/>
    <x v="1"/>
    <s v="Low Risk"/>
  </r>
  <r>
    <s v="LP001841"/>
    <s v="Male"/>
    <s v="No"/>
    <n v="0"/>
    <x v="1"/>
    <s v="Yes"/>
    <n v="2583"/>
    <n v="2167"/>
    <n v="104"/>
    <n v="360"/>
    <x v="0"/>
    <x v="1"/>
    <x v="0"/>
    <n v="4750"/>
    <s v="Medium"/>
    <x v="0"/>
    <s v="Low Risk"/>
  </r>
  <r>
    <s v="LP001843"/>
    <s v="Male"/>
    <s v="Yes"/>
    <n v="1"/>
    <x v="1"/>
    <s v="No"/>
    <n v="2661"/>
    <n v="7101"/>
    <n v="279"/>
    <n v="180"/>
    <x v="0"/>
    <x v="2"/>
    <x v="0"/>
    <n v="9762"/>
    <s v="High"/>
    <x v="0"/>
    <s v="Low Risk"/>
  </r>
  <r>
    <s v="LP001844"/>
    <s v="Male"/>
    <s v="No"/>
    <n v="0"/>
    <x v="0"/>
    <s v="Yes"/>
    <n v="16250"/>
    <n v="0"/>
    <n v="192"/>
    <n v="360"/>
    <x v="1"/>
    <x v="0"/>
    <x v="1"/>
    <n v="16250"/>
    <s v="Very High"/>
    <x v="1"/>
    <s v="High Risk"/>
  </r>
  <r>
    <s v="LP001846"/>
    <s v="Female"/>
    <s v="No"/>
    <s v="3+"/>
    <x v="0"/>
    <s v="No"/>
    <n v="3083"/>
    <n v="0"/>
    <n v="255"/>
    <n v="360"/>
    <x v="0"/>
    <x v="1"/>
    <x v="0"/>
    <n v="3083"/>
    <s v="Medium"/>
    <x v="0"/>
    <s v="Low Risk"/>
  </r>
  <r>
    <s v="LP001849"/>
    <s v="Male"/>
    <s v="No"/>
    <n v="0"/>
    <x v="1"/>
    <s v="No"/>
    <n v="6045"/>
    <n v="0"/>
    <n v="115"/>
    <n v="360"/>
    <x v="1"/>
    <x v="1"/>
    <x v="1"/>
    <n v="6045"/>
    <s v="High"/>
    <x v="1"/>
    <s v="High Risk"/>
  </r>
  <r>
    <s v="LP001854"/>
    <s v="Male"/>
    <s v="Yes"/>
    <s v="3+"/>
    <x v="0"/>
    <s v="No"/>
    <n v="5250"/>
    <n v="0"/>
    <n v="94"/>
    <n v="360"/>
    <x v="0"/>
    <x v="0"/>
    <x v="1"/>
    <n v="5250"/>
    <s v="High"/>
    <x v="1"/>
    <s v="Low Risk"/>
  </r>
  <r>
    <s v="LP001859"/>
    <s v="Male"/>
    <s v="Yes"/>
    <n v="0"/>
    <x v="0"/>
    <s v="No"/>
    <n v="14683"/>
    <n v="2100"/>
    <n v="304"/>
    <n v="360"/>
    <x v="0"/>
    <x v="1"/>
    <x v="1"/>
    <n v="16783"/>
    <s v="Very High"/>
    <x v="1"/>
    <s v="Low Risk"/>
  </r>
  <r>
    <s v="LP001864"/>
    <s v="Male"/>
    <s v="Yes"/>
    <s v="3+"/>
    <x v="1"/>
    <s v="No"/>
    <n v="4931"/>
    <n v="0"/>
    <n v="128"/>
    <n v="360"/>
    <x v="0"/>
    <x v="2"/>
    <x v="1"/>
    <n v="4931"/>
    <s v="Medium"/>
    <x v="1"/>
    <s v="Low Risk"/>
  </r>
  <r>
    <s v="LP001865"/>
    <s v="Male"/>
    <s v="Yes"/>
    <n v="1"/>
    <x v="0"/>
    <s v="No"/>
    <n v="6083"/>
    <n v="4250"/>
    <n v="330"/>
    <n v="360"/>
    <x v="0"/>
    <x v="0"/>
    <x v="0"/>
    <n v="10333"/>
    <s v="Very High"/>
    <x v="0"/>
    <s v="Low Risk"/>
  </r>
  <r>
    <s v="LP001868"/>
    <s v="Male"/>
    <s v="No"/>
    <n v="0"/>
    <x v="0"/>
    <s v="No"/>
    <n v="2060"/>
    <n v="2209"/>
    <n v="134"/>
    <n v="360"/>
    <x v="0"/>
    <x v="2"/>
    <x v="0"/>
    <n v="4269"/>
    <s v="Medium"/>
    <x v="0"/>
    <s v="Low Risk"/>
  </r>
  <r>
    <s v="LP001870"/>
    <s v="Female"/>
    <s v="No"/>
    <n v="1"/>
    <x v="0"/>
    <s v="No"/>
    <n v="3481"/>
    <n v="0"/>
    <n v="155"/>
    <n v="36"/>
    <x v="0"/>
    <x v="2"/>
    <x v="1"/>
    <n v="3481"/>
    <s v="Medium"/>
    <x v="1"/>
    <s v="Low Risk"/>
  </r>
  <r>
    <s v="LP001871"/>
    <s v="Female"/>
    <s v="No"/>
    <n v="0"/>
    <x v="0"/>
    <s v="No"/>
    <n v="7200"/>
    <n v="0"/>
    <n v="120"/>
    <n v="360"/>
    <x v="0"/>
    <x v="1"/>
    <x v="0"/>
    <n v="7200"/>
    <s v="High"/>
    <x v="0"/>
    <s v="Low Risk"/>
  </r>
  <r>
    <s v="LP001872"/>
    <s v="Male"/>
    <s v="No"/>
    <n v="0"/>
    <x v="0"/>
    <s v="Yes"/>
    <n v="5166"/>
    <n v="0"/>
    <n v="128"/>
    <n v="360"/>
    <x v="0"/>
    <x v="2"/>
    <x v="0"/>
    <n v="5166"/>
    <s v="High"/>
    <x v="0"/>
    <s v="Low Risk"/>
  </r>
  <r>
    <s v="LP001875"/>
    <s v="Male"/>
    <s v="No"/>
    <n v="0"/>
    <x v="0"/>
    <s v="No"/>
    <n v="4095"/>
    <n v="3447"/>
    <n v="151"/>
    <n v="360"/>
    <x v="0"/>
    <x v="1"/>
    <x v="0"/>
    <n v="7542"/>
    <s v="High"/>
    <x v="0"/>
    <s v="Low Risk"/>
  </r>
  <r>
    <s v="LP001877"/>
    <s v="Male"/>
    <s v="Yes"/>
    <n v="2"/>
    <x v="0"/>
    <s v="No"/>
    <n v="4708"/>
    <n v="1387"/>
    <n v="150"/>
    <n v="360"/>
    <x v="0"/>
    <x v="2"/>
    <x v="0"/>
    <n v="6095"/>
    <s v="High"/>
    <x v="0"/>
    <s v="Low Risk"/>
  </r>
  <r>
    <s v="LP001882"/>
    <s v="Male"/>
    <s v="Yes"/>
    <s v="3+"/>
    <x v="0"/>
    <s v="No"/>
    <n v="4333"/>
    <n v="1811"/>
    <n v="160"/>
    <n v="360"/>
    <x v="1"/>
    <x v="0"/>
    <x v="0"/>
    <n v="6144"/>
    <s v="High"/>
    <x v="0"/>
    <s v="High Risk"/>
  </r>
  <r>
    <s v="LP001883"/>
    <s v="Female"/>
    <s v="No"/>
    <n v="0"/>
    <x v="0"/>
    <m/>
    <n v="3418"/>
    <n v="0"/>
    <n v="135"/>
    <n v="360"/>
    <x v="0"/>
    <x v="1"/>
    <x v="1"/>
    <n v="3418"/>
    <s v="Medium"/>
    <x v="1"/>
    <s v="Low Risk"/>
  </r>
  <r>
    <s v="LP001884"/>
    <s v="Female"/>
    <s v="No"/>
    <n v="1"/>
    <x v="0"/>
    <s v="No"/>
    <n v="2876"/>
    <n v="1560"/>
    <n v="90"/>
    <n v="360"/>
    <x v="0"/>
    <x v="0"/>
    <x v="0"/>
    <n v="4436"/>
    <s v="Medium"/>
    <x v="0"/>
    <s v="Low Risk"/>
  </r>
  <r>
    <s v="LP001888"/>
    <s v="Female"/>
    <s v="No"/>
    <n v="0"/>
    <x v="0"/>
    <s v="No"/>
    <n v="3237"/>
    <n v="0"/>
    <n v="30"/>
    <n v="360"/>
    <x v="0"/>
    <x v="0"/>
    <x v="0"/>
    <n v="3237"/>
    <s v="Medium"/>
    <x v="0"/>
    <s v="Low Risk"/>
  </r>
  <r>
    <s v="LP001891"/>
    <s v="Male"/>
    <s v="Yes"/>
    <n v="0"/>
    <x v="0"/>
    <s v="No"/>
    <n v="11146"/>
    <n v="0"/>
    <n v="136"/>
    <n v="360"/>
    <x v="0"/>
    <x v="0"/>
    <x v="0"/>
    <n v="11146"/>
    <s v="Very High"/>
    <x v="0"/>
    <s v="Low Risk"/>
  </r>
  <r>
    <s v="LP001892"/>
    <s v="Male"/>
    <s v="No"/>
    <n v="0"/>
    <x v="0"/>
    <s v="No"/>
    <n v="2833"/>
    <n v="1857"/>
    <n v="126"/>
    <n v="360"/>
    <x v="0"/>
    <x v="1"/>
    <x v="0"/>
    <n v="4690"/>
    <s v="Medium"/>
    <x v="0"/>
    <s v="Low Risk"/>
  </r>
  <r>
    <s v="LP001894"/>
    <s v="Male"/>
    <s v="Yes"/>
    <n v="0"/>
    <x v="0"/>
    <s v="No"/>
    <n v="2620"/>
    <n v="2223"/>
    <n v="150"/>
    <n v="360"/>
    <x v="0"/>
    <x v="2"/>
    <x v="0"/>
    <n v="4843"/>
    <s v="Medium"/>
    <x v="0"/>
    <s v="Low Risk"/>
  </r>
  <r>
    <s v="LP001896"/>
    <s v="Male"/>
    <s v="Yes"/>
    <n v="2"/>
    <x v="0"/>
    <s v="No"/>
    <n v="3900"/>
    <n v="0"/>
    <n v="90"/>
    <n v="360"/>
    <x v="0"/>
    <x v="2"/>
    <x v="0"/>
    <n v="3900"/>
    <s v="Medium"/>
    <x v="0"/>
    <s v="Low Risk"/>
  </r>
  <r>
    <s v="LP001900"/>
    <s v="Male"/>
    <s v="Yes"/>
    <n v="1"/>
    <x v="0"/>
    <s v="No"/>
    <n v="2750"/>
    <n v="1842"/>
    <n v="115"/>
    <n v="360"/>
    <x v="0"/>
    <x v="2"/>
    <x v="0"/>
    <n v="4592"/>
    <s v="Medium"/>
    <x v="0"/>
    <s v="Low Risk"/>
  </r>
  <r>
    <s v="LP001903"/>
    <s v="Male"/>
    <s v="Yes"/>
    <n v="0"/>
    <x v="0"/>
    <s v="No"/>
    <n v="3993"/>
    <n v="3274"/>
    <n v="207"/>
    <n v="360"/>
    <x v="0"/>
    <x v="2"/>
    <x v="0"/>
    <n v="7267"/>
    <s v="High"/>
    <x v="0"/>
    <s v="Low Risk"/>
  </r>
  <r>
    <s v="LP001904"/>
    <s v="Male"/>
    <s v="Yes"/>
    <n v="0"/>
    <x v="0"/>
    <s v="No"/>
    <n v="3103"/>
    <n v="1300"/>
    <n v="80"/>
    <n v="360"/>
    <x v="0"/>
    <x v="0"/>
    <x v="0"/>
    <n v="4403"/>
    <s v="Medium"/>
    <x v="0"/>
    <s v="Low Risk"/>
  </r>
  <r>
    <s v="LP001907"/>
    <s v="Male"/>
    <s v="Yes"/>
    <n v="0"/>
    <x v="0"/>
    <s v="No"/>
    <n v="14583"/>
    <n v="0"/>
    <n v="436"/>
    <n v="360"/>
    <x v="0"/>
    <x v="2"/>
    <x v="0"/>
    <n v="14583"/>
    <s v="Very High"/>
    <x v="0"/>
    <s v="Low Risk"/>
  </r>
  <r>
    <s v="LP001908"/>
    <s v="Female"/>
    <s v="Yes"/>
    <n v="0"/>
    <x v="1"/>
    <s v="No"/>
    <n v="4100"/>
    <n v="0"/>
    <n v="124"/>
    <n v="360"/>
    <x v="0"/>
    <x v="1"/>
    <x v="0"/>
    <n v="4100"/>
    <s v="Medium"/>
    <x v="0"/>
    <s v="Low Risk"/>
  </r>
  <r>
    <s v="LP001910"/>
    <s v="Male"/>
    <s v="No"/>
    <n v="1"/>
    <x v="1"/>
    <s v="Yes"/>
    <n v="4053"/>
    <n v="2426"/>
    <n v="158"/>
    <n v="360"/>
    <x v="1"/>
    <x v="0"/>
    <x v="1"/>
    <n v="6479"/>
    <s v="High"/>
    <x v="1"/>
    <s v="High Risk"/>
  </r>
  <r>
    <s v="LP001914"/>
    <s v="Male"/>
    <s v="Yes"/>
    <n v="0"/>
    <x v="0"/>
    <s v="No"/>
    <n v="3927"/>
    <n v="800"/>
    <n v="112"/>
    <n v="360"/>
    <x v="0"/>
    <x v="2"/>
    <x v="0"/>
    <n v="4727"/>
    <s v="Medium"/>
    <x v="0"/>
    <s v="Low Risk"/>
  </r>
  <r>
    <s v="LP001915"/>
    <s v="Male"/>
    <s v="Yes"/>
    <n v="2"/>
    <x v="0"/>
    <s v="No"/>
    <n v="2301"/>
    <n v="985.79998780000005"/>
    <n v="78"/>
    <n v="180"/>
    <x v="0"/>
    <x v="0"/>
    <x v="0"/>
    <n v="3286.7999878000001"/>
    <s v="Medium"/>
    <x v="0"/>
    <s v="Low Risk"/>
  </r>
  <r>
    <s v="LP001917"/>
    <s v="Female"/>
    <s v="No"/>
    <n v="0"/>
    <x v="0"/>
    <s v="No"/>
    <n v="1811"/>
    <n v="1666"/>
    <n v="54"/>
    <n v="360"/>
    <x v="0"/>
    <x v="0"/>
    <x v="0"/>
    <n v="3477"/>
    <s v="Medium"/>
    <x v="0"/>
    <s v="Low Risk"/>
  </r>
  <r>
    <s v="LP001922"/>
    <s v="Male"/>
    <s v="Yes"/>
    <n v="0"/>
    <x v="0"/>
    <s v="No"/>
    <n v="20667"/>
    <n v="0"/>
    <n v="128"/>
    <n v="360"/>
    <x v="0"/>
    <x v="1"/>
    <x v="1"/>
    <n v="20667"/>
    <s v="Very High"/>
    <x v="1"/>
    <s v="Low Risk"/>
  </r>
  <r>
    <s v="LP001924"/>
    <s v="Male"/>
    <s v="No"/>
    <n v="0"/>
    <x v="0"/>
    <s v="No"/>
    <n v="3158"/>
    <n v="3053"/>
    <n v="89"/>
    <n v="360"/>
    <x v="0"/>
    <x v="1"/>
    <x v="0"/>
    <n v="6211"/>
    <s v="High"/>
    <x v="0"/>
    <s v="Low Risk"/>
  </r>
  <r>
    <s v="LP001925"/>
    <s v="Female"/>
    <s v="No"/>
    <n v="0"/>
    <x v="0"/>
    <s v="Yes"/>
    <n v="2600"/>
    <n v="1717"/>
    <n v="99"/>
    <n v="300"/>
    <x v="0"/>
    <x v="2"/>
    <x v="1"/>
    <n v="4317"/>
    <s v="Medium"/>
    <x v="1"/>
    <s v="Low Risk"/>
  </r>
  <r>
    <s v="LP001926"/>
    <s v="Male"/>
    <s v="Yes"/>
    <n v="0"/>
    <x v="0"/>
    <s v="No"/>
    <n v="3704"/>
    <n v="2000"/>
    <n v="120"/>
    <n v="360"/>
    <x v="0"/>
    <x v="1"/>
    <x v="0"/>
    <n v="5704"/>
    <s v="High"/>
    <x v="0"/>
    <s v="Low Risk"/>
  </r>
  <r>
    <s v="LP001931"/>
    <s v="Female"/>
    <s v="No"/>
    <n v="0"/>
    <x v="0"/>
    <s v="No"/>
    <n v="4124"/>
    <n v="0"/>
    <n v="115"/>
    <n v="360"/>
    <x v="0"/>
    <x v="2"/>
    <x v="0"/>
    <n v="4124"/>
    <s v="Medium"/>
    <x v="0"/>
    <s v="Low Risk"/>
  </r>
  <r>
    <s v="LP001935"/>
    <s v="Male"/>
    <s v="No"/>
    <n v="0"/>
    <x v="0"/>
    <s v="No"/>
    <n v="9508"/>
    <n v="0"/>
    <n v="187"/>
    <n v="360"/>
    <x v="0"/>
    <x v="1"/>
    <x v="0"/>
    <n v="9508"/>
    <s v="High"/>
    <x v="0"/>
    <s v="Low Risk"/>
  </r>
  <r>
    <s v="LP001936"/>
    <s v="Male"/>
    <s v="Yes"/>
    <n v="0"/>
    <x v="0"/>
    <s v="No"/>
    <n v="3075"/>
    <n v="2416"/>
    <n v="139"/>
    <n v="360"/>
    <x v="0"/>
    <x v="1"/>
    <x v="0"/>
    <n v="5491"/>
    <s v="High"/>
    <x v="0"/>
    <s v="Low Risk"/>
  </r>
  <r>
    <s v="LP001938"/>
    <s v="Male"/>
    <s v="Yes"/>
    <n v="2"/>
    <x v="0"/>
    <s v="No"/>
    <n v="4400"/>
    <n v="0"/>
    <n v="127"/>
    <n v="360"/>
    <x v="1"/>
    <x v="2"/>
    <x v="1"/>
    <n v="4400"/>
    <s v="Medium"/>
    <x v="1"/>
    <s v="High Risk"/>
  </r>
  <r>
    <s v="LP001940"/>
    <s v="Male"/>
    <s v="Yes"/>
    <n v="2"/>
    <x v="0"/>
    <s v="No"/>
    <n v="3153"/>
    <n v="1560"/>
    <n v="134"/>
    <n v="360"/>
    <x v="0"/>
    <x v="0"/>
    <x v="0"/>
    <n v="4713"/>
    <s v="Medium"/>
    <x v="0"/>
    <s v="Low Risk"/>
  </r>
  <r>
    <s v="LP001945"/>
    <s v="Female"/>
    <s v="No"/>
    <n v="0"/>
    <x v="0"/>
    <s v="No"/>
    <n v="5417"/>
    <n v="0"/>
    <n v="143"/>
    <n v="480"/>
    <x v="1"/>
    <x v="0"/>
    <x v="1"/>
    <n v="5417"/>
    <s v="High"/>
    <x v="1"/>
    <s v="High Risk"/>
  </r>
  <r>
    <s v="LP001947"/>
    <s v="Male"/>
    <s v="Yes"/>
    <n v="0"/>
    <x v="0"/>
    <s v="No"/>
    <n v="2383"/>
    <n v="3334"/>
    <n v="172"/>
    <n v="360"/>
    <x v="0"/>
    <x v="2"/>
    <x v="0"/>
    <n v="5717"/>
    <s v="High"/>
    <x v="0"/>
    <s v="Low Risk"/>
  </r>
  <r>
    <s v="LP001949"/>
    <s v="Male"/>
    <s v="Yes"/>
    <s v="3+"/>
    <x v="0"/>
    <m/>
    <n v="4416"/>
    <n v="1250"/>
    <n v="110"/>
    <n v="360"/>
    <x v="0"/>
    <x v="0"/>
    <x v="0"/>
    <n v="5666"/>
    <s v="High"/>
    <x v="0"/>
    <s v="Low Risk"/>
  </r>
  <r>
    <s v="LP001953"/>
    <s v="Male"/>
    <s v="Yes"/>
    <n v="1"/>
    <x v="0"/>
    <s v="No"/>
    <n v="6875"/>
    <n v="0"/>
    <n v="200"/>
    <n v="360"/>
    <x v="0"/>
    <x v="2"/>
    <x v="0"/>
    <n v="6875"/>
    <s v="High"/>
    <x v="0"/>
    <s v="Low Risk"/>
  </r>
  <r>
    <s v="LP001954"/>
    <s v="Female"/>
    <s v="Yes"/>
    <n v="1"/>
    <x v="0"/>
    <s v="No"/>
    <n v="4666"/>
    <n v="0"/>
    <n v="135"/>
    <n v="360"/>
    <x v="0"/>
    <x v="0"/>
    <x v="0"/>
    <n v="4666"/>
    <s v="Medium"/>
    <x v="0"/>
    <s v="Low Risk"/>
  </r>
  <r>
    <s v="LP001955"/>
    <s v="Female"/>
    <s v="No"/>
    <n v="0"/>
    <x v="0"/>
    <s v="No"/>
    <n v="5000"/>
    <n v="2541"/>
    <n v="151"/>
    <n v="480"/>
    <x v="0"/>
    <x v="1"/>
    <x v="1"/>
    <n v="7541"/>
    <s v="High"/>
    <x v="1"/>
    <s v="Low Risk"/>
  </r>
  <r>
    <s v="LP001963"/>
    <s v="Male"/>
    <s v="Yes"/>
    <n v="1"/>
    <x v="0"/>
    <s v="No"/>
    <n v="2014"/>
    <n v="2925"/>
    <n v="113"/>
    <n v="360"/>
    <x v="0"/>
    <x v="0"/>
    <x v="1"/>
    <n v="4939"/>
    <s v="Medium"/>
    <x v="1"/>
    <s v="Low Risk"/>
  </r>
  <r>
    <s v="LP001964"/>
    <s v="Male"/>
    <s v="Yes"/>
    <n v="0"/>
    <x v="1"/>
    <s v="No"/>
    <n v="1800"/>
    <n v="2934"/>
    <n v="93"/>
    <n v="360"/>
    <x v="1"/>
    <x v="0"/>
    <x v="1"/>
    <n v="4734"/>
    <s v="Medium"/>
    <x v="1"/>
    <s v="High Risk"/>
  </r>
  <r>
    <s v="LP001972"/>
    <s v="Male"/>
    <s v="Yes"/>
    <n v="0"/>
    <x v="1"/>
    <s v="No"/>
    <n v="2875"/>
    <n v="1750"/>
    <n v="105"/>
    <n v="360"/>
    <x v="0"/>
    <x v="2"/>
    <x v="0"/>
    <n v="4625"/>
    <s v="Medium"/>
    <x v="0"/>
    <s v="Low Risk"/>
  </r>
  <r>
    <s v="LP001974"/>
    <s v="Female"/>
    <s v="No"/>
    <n v="0"/>
    <x v="0"/>
    <s v="No"/>
    <n v="5000"/>
    <n v="0"/>
    <n v="132"/>
    <n v="360"/>
    <x v="0"/>
    <x v="1"/>
    <x v="0"/>
    <n v="5000"/>
    <s v="High"/>
    <x v="0"/>
    <s v="Low Risk"/>
  </r>
  <r>
    <s v="LP001977"/>
    <s v="Male"/>
    <s v="Yes"/>
    <n v="1"/>
    <x v="0"/>
    <s v="No"/>
    <n v="1625"/>
    <n v="1803"/>
    <n v="96"/>
    <n v="360"/>
    <x v="0"/>
    <x v="0"/>
    <x v="0"/>
    <n v="3428"/>
    <s v="Medium"/>
    <x v="0"/>
    <s v="Low Risk"/>
  </r>
  <r>
    <s v="LP001978"/>
    <s v="Male"/>
    <s v="No"/>
    <n v="0"/>
    <x v="0"/>
    <s v="No"/>
    <n v="4000"/>
    <n v="2500"/>
    <n v="140"/>
    <n v="360"/>
    <x v="0"/>
    <x v="1"/>
    <x v="0"/>
    <n v="6500"/>
    <s v="High"/>
    <x v="0"/>
    <s v="Low Risk"/>
  </r>
  <r>
    <s v="LP001990"/>
    <s v="Male"/>
    <s v="No"/>
    <n v="0"/>
    <x v="1"/>
    <s v="No"/>
    <n v="2000"/>
    <n v="0"/>
    <n v="128"/>
    <n v="360"/>
    <x v="0"/>
    <x v="0"/>
    <x v="1"/>
    <n v="2000"/>
    <s v="Low"/>
    <x v="1"/>
    <s v="Low Risk"/>
  </r>
  <r>
    <s v="LP001993"/>
    <s v="Female"/>
    <s v="No"/>
    <n v="0"/>
    <x v="0"/>
    <s v="No"/>
    <n v="3762"/>
    <n v="1666"/>
    <n v="135"/>
    <n v="360"/>
    <x v="0"/>
    <x v="1"/>
    <x v="0"/>
    <n v="5428"/>
    <s v="High"/>
    <x v="0"/>
    <s v="Low Risk"/>
  </r>
  <r>
    <s v="LP001994"/>
    <s v="Female"/>
    <s v="No"/>
    <n v="0"/>
    <x v="0"/>
    <s v="No"/>
    <n v="2400"/>
    <n v="1863"/>
    <n v="104"/>
    <n v="360"/>
    <x v="1"/>
    <x v="0"/>
    <x v="1"/>
    <n v="4263"/>
    <s v="Medium"/>
    <x v="1"/>
    <s v="High Risk"/>
  </r>
  <r>
    <s v="LP001996"/>
    <s v="Male"/>
    <s v="No"/>
    <n v="0"/>
    <x v="0"/>
    <s v="No"/>
    <n v="20233"/>
    <n v="0"/>
    <n v="480"/>
    <n v="360"/>
    <x v="0"/>
    <x v="1"/>
    <x v="1"/>
    <n v="20233"/>
    <s v="Very High"/>
    <x v="1"/>
    <s v="Low Risk"/>
  </r>
  <r>
    <s v="LP001998"/>
    <s v="Male"/>
    <s v="Yes"/>
    <n v="2"/>
    <x v="1"/>
    <s v="No"/>
    <n v="7667"/>
    <n v="0"/>
    <n v="185"/>
    <n v="360"/>
    <x v="0"/>
    <x v="1"/>
    <x v="0"/>
    <n v="7667"/>
    <s v="High"/>
    <x v="0"/>
    <s v="Low Risk"/>
  </r>
  <r>
    <s v="LP002002"/>
    <s v="Female"/>
    <s v="No"/>
    <n v="0"/>
    <x v="0"/>
    <s v="No"/>
    <n v="2917"/>
    <n v="0"/>
    <n v="84"/>
    <n v="360"/>
    <x v="0"/>
    <x v="2"/>
    <x v="0"/>
    <n v="2917"/>
    <s v="Medium"/>
    <x v="0"/>
    <s v="Low Risk"/>
  </r>
  <r>
    <s v="LP002004"/>
    <s v="Male"/>
    <s v="No"/>
    <n v="0"/>
    <x v="1"/>
    <s v="No"/>
    <n v="2927"/>
    <n v="2405"/>
    <n v="111"/>
    <n v="360"/>
    <x v="0"/>
    <x v="2"/>
    <x v="0"/>
    <n v="5332"/>
    <s v="High"/>
    <x v="0"/>
    <s v="Low Risk"/>
  </r>
  <r>
    <s v="LP002006"/>
    <s v="Female"/>
    <s v="No"/>
    <n v="0"/>
    <x v="0"/>
    <s v="No"/>
    <n v="2507"/>
    <n v="0"/>
    <n v="56"/>
    <n v="360"/>
    <x v="0"/>
    <x v="1"/>
    <x v="0"/>
    <n v="2507"/>
    <s v="Medium"/>
    <x v="0"/>
    <s v="Low Risk"/>
  </r>
  <r>
    <s v="LP002008"/>
    <s v="Male"/>
    <s v="Yes"/>
    <n v="2"/>
    <x v="0"/>
    <s v="Yes"/>
    <n v="5746"/>
    <n v="0"/>
    <n v="144"/>
    <n v="84"/>
    <x v="0"/>
    <x v="1"/>
    <x v="0"/>
    <n v="5746"/>
    <s v="High"/>
    <x v="0"/>
    <s v="Low Risk"/>
  </r>
  <r>
    <s v="LP002024"/>
    <s v="Male"/>
    <s v="Yes"/>
    <n v="0"/>
    <x v="0"/>
    <s v="No"/>
    <n v="2473"/>
    <n v="1843"/>
    <n v="159"/>
    <n v="360"/>
    <x v="0"/>
    <x v="1"/>
    <x v="1"/>
    <n v="4316"/>
    <s v="Medium"/>
    <x v="1"/>
    <s v="Low Risk"/>
  </r>
  <r>
    <s v="LP002031"/>
    <s v="Male"/>
    <s v="Yes"/>
    <n v="1"/>
    <x v="1"/>
    <s v="No"/>
    <n v="3399"/>
    <n v="1640"/>
    <n v="111"/>
    <n v="180"/>
    <x v="0"/>
    <x v="0"/>
    <x v="0"/>
    <n v="5039"/>
    <s v="High"/>
    <x v="0"/>
    <s v="Low Risk"/>
  </r>
  <r>
    <s v="LP002035"/>
    <s v="Male"/>
    <s v="Yes"/>
    <n v="2"/>
    <x v="0"/>
    <s v="No"/>
    <n v="3717"/>
    <n v="0"/>
    <n v="120"/>
    <n v="360"/>
    <x v="0"/>
    <x v="2"/>
    <x v="0"/>
    <n v="3717"/>
    <s v="Medium"/>
    <x v="0"/>
    <s v="Low Risk"/>
  </r>
  <r>
    <s v="LP002036"/>
    <s v="Male"/>
    <s v="Yes"/>
    <n v="0"/>
    <x v="0"/>
    <s v="No"/>
    <n v="2058"/>
    <n v="2134"/>
    <n v="88"/>
    <n v="360"/>
    <x v="0"/>
    <x v="0"/>
    <x v="0"/>
    <n v="4192"/>
    <s v="Medium"/>
    <x v="0"/>
    <s v="Low Risk"/>
  </r>
  <r>
    <s v="LP002043"/>
    <s v="Female"/>
    <s v="No"/>
    <n v="1"/>
    <x v="0"/>
    <s v="No"/>
    <n v="3541"/>
    <n v="0"/>
    <n v="112"/>
    <n v="360"/>
    <x v="0"/>
    <x v="2"/>
    <x v="0"/>
    <n v="3541"/>
    <s v="Medium"/>
    <x v="0"/>
    <s v="Low Risk"/>
  </r>
  <r>
    <s v="LP002050"/>
    <s v="Male"/>
    <s v="Yes"/>
    <n v="1"/>
    <x v="0"/>
    <s v="Yes"/>
    <n v="10000"/>
    <n v="0"/>
    <n v="155"/>
    <n v="360"/>
    <x v="0"/>
    <x v="1"/>
    <x v="1"/>
    <n v="10000"/>
    <s v="Very High"/>
    <x v="1"/>
    <s v="Low Risk"/>
  </r>
  <r>
    <s v="LP002051"/>
    <s v="Male"/>
    <s v="Yes"/>
    <n v="0"/>
    <x v="0"/>
    <s v="No"/>
    <n v="2400"/>
    <n v="2167"/>
    <n v="115"/>
    <n v="360"/>
    <x v="0"/>
    <x v="2"/>
    <x v="0"/>
    <n v="4567"/>
    <s v="Medium"/>
    <x v="0"/>
    <s v="Low Risk"/>
  </r>
  <r>
    <s v="LP002053"/>
    <s v="Male"/>
    <s v="Yes"/>
    <s v="3+"/>
    <x v="0"/>
    <s v="No"/>
    <n v="4342"/>
    <n v="189"/>
    <n v="124"/>
    <n v="360"/>
    <x v="0"/>
    <x v="2"/>
    <x v="0"/>
    <n v="4531"/>
    <s v="Medium"/>
    <x v="0"/>
    <s v="Low Risk"/>
  </r>
  <r>
    <s v="LP002054"/>
    <s v="Male"/>
    <s v="Yes"/>
    <n v="2"/>
    <x v="1"/>
    <s v="No"/>
    <n v="3601"/>
    <n v="1590"/>
    <n v="128"/>
    <n v="360"/>
    <x v="0"/>
    <x v="1"/>
    <x v="0"/>
    <n v="5191"/>
    <s v="High"/>
    <x v="0"/>
    <s v="Low Risk"/>
  </r>
  <r>
    <s v="LP002055"/>
    <s v="Female"/>
    <s v="No"/>
    <n v="0"/>
    <x v="0"/>
    <s v="No"/>
    <n v="3166"/>
    <n v="2985"/>
    <n v="132"/>
    <n v="360"/>
    <x v="0"/>
    <x v="1"/>
    <x v="0"/>
    <n v="6151"/>
    <s v="High"/>
    <x v="0"/>
    <s v="Low Risk"/>
  </r>
  <r>
    <s v="LP002065"/>
    <s v="Male"/>
    <s v="Yes"/>
    <s v="3+"/>
    <x v="0"/>
    <s v="No"/>
    <n v="15000"/>
    <n v="0"/>
    <n v="300"/>
    <n v="360"/>
    <x v="0"/>
    <x v="1"/>
    <x v="0"/>
    <n v="15000"/>
    <s v="Very High"/>
    <x v="0"/>
    <s v="Low Risk"/>
  </r>
  <r>
    <s v="LP002067"/>
    <s v="Male"/>
    <s v="Yes"/>
    <n v="1"/>
    <x v="0"/>
    <s v="Yes"/>
    <n v="8666"/>
    <n v="4983"/>
    <n v="376"/>
    <n v="360"/>
    <x v="1"/>
    <x v="1"/>
    <x v="1"/>
    <n v="13649"/>
    <s v="Very High"/>
    <x v="1"/>
    <s v="High Risk"/>
  </r>
  <r>
    <s v="LP002068"/>
    <s v="Male"/>
    <s v="No"/>
    <n v="0"/>
    <x v="0"/>
    <s v="No"/>
    <n v="4917"/>
    <n v="0"/>
    <n v="130"/>
    <n v="360"/>
    <x v="1"/>
    <x v="1"/>
    <x v="0"/>
    <n v="4917"/>
    <s v="Medium"/>
    <x v="0"/>
    <s v="High Risk"/>
  </r>
  <r>
    <s v="LP002082"/>
    <s v="Male"/>
    <s v="Yes"/>
    <n v="0"/>
    <x v="0"/>
    <s v="Yes"/>
    <n v="5818"/>
    <n v="2160"/>
    <n v="184"/>
    <n v="360"/>
    <x v="0"/>
    <x v="2"/>
    <x v="0"/>
    <n v="7978"/>
    <s v="High"/>
    <x v="0"/>
    <s v="Low Risk"/>
  </r>
  <r>
    <s v="LP002086"/>
    <s v="Female"/>
    <s v="Yes"/>
    <n v="0"/>
    <x v="0"/>
    <s v="No"/>
    <n v="4333"/>
    <n v="2451"/>
    <n v="110"/>
    <n v="360"/>
    <x v="0"/>
    <x v="0"/>
    <x v="1"/>
    <n v="6784"/>
    <s v="High"/>
    <x v="1"/>
    <s v="Low Risk"/>
  </r>
  <r>
    <s v="LP002087"/>
    <s v="Female"/>
    <s v="No"/>
    <n v="0"/>
    <x v="0"/>
    <s v="No"/>
    <n v="2500"/>
    <n v="0"/>
    <n v="67"/>
    <n v="360"/>
    <x v="0"/>
    <x v="0"/>
    <x v="0"/>
    <n v="2500"/>
    <s v="Medium"/>
    <x v="0"/>
    <s v="Low Risk"/>
  </r>
  <r>
    <s v="LP002097"/>
    <s v="Male"/>
    <s v="No"/>
    <n v="1"/>
    <x v="0"/>
    <s v="No"/>
    <n v="4384"/>
    <n v="1793"/>
    <n v="117"/>
    <n v="360"/>
    <x v="0"/>
    <x v="0"/>
    <x v="0"/>
    <n v="6177"/>
    <s v="High"/>
    <x v="0"/>
    <s v="Low Risk"/>
  </r>
  <r>
    <s v="LP002098"/>
    <s v="Male"/>
    <s v="No"/>
    <n v="0"/>
    <x v="0"/>
    <s v="No"/>
    <n v="2935"/>
    <n v="0"/>
    <n v="98"/>
    <n v="360"/>
    <x v="0"/>
    <x v="2"/>
    <x v="0"/>
    <n v="2935"/>
    <s v="Medium"/>
    <x v="0"/>
    <s v="Low Risk"/>
  </r>
  <r>
    <s v="LP002100"/>
    <s v="Male"/>
    <s v="No"/>
    <n v="0"/>
    <x v="0"/>
    <s v="No"/>
    <n v="2833"/>
    <n v="0"/>
    <n v="71"/>
    <n v="360"/>
    <x v="0"/>
    <x v="0"/>
    <x v="0"/>
    <n v="2833"/>
    <s v="Medium"/>
    <x v="0"/>
    <s v="Low Risk"/>
  </r>
  <r>
    <s v="LP002101"/>
    <s v="Male"/>
    <s v="Yes"/>
    <n v="0"/>
    <x v="0"/>
    <m/>
    <n v="63337"/>
    <n v="0"/>
    <n v="490"/>
    <n v="180"/>
    <x v="0"/>
    <x v="0"/>
    <x v="0"/>
    <n v="63337"/>
    <s v="Very High"/>
    <x v="0"/>
    <s v="Low Risk"/>
  </r>
  <r>
    <s v="LP002103"/>
    <s v="Male"/>
    <s v="Yes"/>
    <n v="1"/>
    <x v="0"/>
    <s v="Yes"/>
    <n v="9833"/>
    <n v="1833"/>
    <n v="182"/>
    <n v="180"/>
    <x v="0"/>
    <x v="0"/>
    <x v="0"/>
    <n v="11666"/>
    <s v="Very High"/>
    <x v="0"/>
    <s v="Low Risk"/>
  </r>
  <r>
    <s v="LP002106"/>
    <s v="Male"/>
    <s v="Yes"/>
    <n v="0"/>
    <x v="0"/>
    <s v="Yes"/>
    <n v="5503"/>
    <n v="4490"/>
    <n v="70"/>
    <n v="360"/>
    <x v="0"/>
    <x v="2"/>
    <x v="0"/>
    <n v="9993"/>
    <s v="High"/>
    <x v="0"/>
    <s v="Low Risk"/>
  </r>
  <r>
    <s v="LP002110"/>
    <s v="Male"/>
    <s v="Yes"/>
    <n v="1"/>
    <x v="0"/>
    <m/>
    <n v="5250"/>
    <n v="688"/>
    <n v="160"/>
    <n v="360"/>
    <x v="0"/>
    <x v="1"/>
    <x v="0"/>
    <n v="5938"/>
    <s v="High"/>
    <x v="0"/>
    <s v="Low Risk"/>
  </r>
  <r>
    <s v="LP002112"/>
    <s v="Male"/>
    <s v="Yes"/>
    <n v="2"/>
    <x v="0"/>
    <s v="Yes"/>
    <n v="2500"/>
    <n v="4600"/>
    <n v="176"/>
    <n v="360"/>
    <x v="0"/>
    <x v="1"/>
    <x v="0"/>
    <n v="7100"/>
    <s v="High"/>
    <x v="0"/>
    <s v="Low Risk"/>
  </r>
  <r>
    <s v="LP002113"/>
    <s v="Female"/>
    <s v="No"/>
    <s v="3+"/>
    <x v="1"/>
    <s v="No"/>
    <n v="1830"/>
    <n v="0"/>
    <n v="128"/>
    <n v="360"/>
    <x v="1"/>
    <x v="0"/>
    <x v="1"/>
    <n v="1830"/>
    <s v="Low"/>
    <x v="1"/>
    <s v="High Risk"/>
  </r>
  <r>
    <s v="LP002114"/>
    <s v="Female"/>
    <s v="No"/>
    <n v="0"/>
    <x v="0"/>
    <s v="No"/>
    <n v="4160"/>
    <n v="0"/>
    <n v="71"/>
    <n v="360"/>
    <x v="0"/>
    <x v="2"/>
    <x v="0"/>
    <n v="4160"/>
    <s v="Medium"/>
    <x v="0"/>
    <s v="Low Risk"/>
  </r>
  <r>
    <s v="LP002115"/>
    <s v="Male"/>
    <s v="Yes"/>
    <s v="3+"/>
    <x v="1"/>
    <s v="No"/>
    <n v="2647"/>
    <n v="1587"/>
    <n v="173"/>
    <n v="360"/>
    <x v="0"/>
    <x v="1"/>
    <x v="1"/>
    <n v="4234"/>
    <s v="Medium"/>
    <x v="1"/>
    <s v="Low Risk"/>
  </r>
  <r>
    <s v="LP002116"/>
    <s v="Female"/>
    <s v="No"/>
    <n v="0"/>
    <x v="0"/>
    <s v="No"/>
    <n v="2378"/>
    <n v="0"/>
    <n v="46"/>
    <n v="360"/>
    <x v="0"/>
    <x v="1"/>
    <x v="1"/>
    <n v="2378"/>
    <s v="Low"/>
    <x v="1"/>
    <s v="Low Risk"/>
  </r>
  <r>
    <s v="LP002119"/>
    <s v="Male"/>
    <s v="Yes"/>
    <n v="1"/>
    <x v="1"/>
    <s v="No"/>
    <n v="4554"/>
    <n v="1229"/>
    <n v="158"/>
    <n v="360"/>
    <x v="0"/>
    <x v="0"/>
    <x v="0"/>
    <n v="5783"/>
    <s v="High"/>
    <x v="0"/>
    <s v="Low Risk"/>
  </r>
  <r>
    <s v="LP002126"/>
    <s v="Male"/>
    <s v="Yes"/>
    <s v="3+"/>
    <x v="1"/>
    <s v="No"/>
    <n v="3173"/>
    <n v="0"/>
    <n v="74"/>
    <n v="360"/>
    <x v="0"/>
    <x v="2"/>
    <x v="0"/>
    <n v="3173"/>
    <s v="Medium"/>
    <x v="0"/>
    <s v="Low Risk"/>
  </r>
  <r>
    <s v="LP002128"/>
    <s v="Male"/>
    <s v="Yes"/>
    <n v="2"/>
    <x v="0"/>
    <m/>
    <n v="2583"/>
    <n v="2330"/>
    <n v="125"/>
    <n v="360"/>
    <x v="0"/>
    <x v="1"/>
    <x v="0"/>
    <n v="4913"/>
    <s v="Medium"/>
    <x v="0"/>
    <s v="Low Risk"/>
  </r>
  <r>
    <s v="LP002129"/>
    <s v="Male"/>
    <s v="Yes"/>
    <n v="0"/>
    <x v="0"/>
    <s v="No"/>
    <n v="2499"/>
    <n v="2458"/>
    <n v="160"/>
    <n v="360"/>
    <x v="0"/>
    <x v="2"/>
    <x v="0"/>
    <n v="4957"/>
    <s v="Medium"/>
    <x v="0"/>
    <s v="Low Risk"/>
  </r>
  <r>
    <s v="LP002130"/>
    <s v="Male"/>
    <s v="Yes"/>
    <n v="0"/>
    <x v="1"/>
    <s v="No"/>
    <n v="3523"/>
    <n v="3230"/>
    <n v="152"/>
    <n v="360"/>
    <x v="1"/>
    <x v="1"/>
    <x v="1"/>
    <n v="6753"/>
    <s v="High"/>
    <x v="1"/>
    <s v="High Risk"/>
  </r>
  <r>
    <s v="LP002131"/>
    <s v="Male"/>
    <s v="Yes"/>
    <n v="2"/>
    <x v="1"/>
    <s v="No"/>
    <n v="3083"/>
    <n v="2168"/>
    <n v="126"/>
    <n v="360"/>
    <x v="0"/>
    <x v="0"/>
    <x v="0"/>
    <n v="5251"/>
    <s v="High"/>
    <x v="0"/>
    <s v="Low Risk"/>
  </r>
  <r>
    <s v="LP002137"/>
    <s v="Male"/>
    <s v="Yes"/>
    <n v="0"/>
    <x v="0"/>
    <s v="No"/>
    <n v="6333"/>
    <n v="4583"/>
    <n v="259"/>
    <n v="360"/>
    <x v="0"/>
    <x v="2"/>
    <x v="0"/>
    <n v="10916"/>
    <s v="Very High"/>
    <x v="0"/>
    <s v="Low Risk"/>
  </r>
  <r>
    <s v="LP002138"/>
    <s v="Male"/>
    <s v="Yes"/>
    <n v="0"/>
    <x v="0"/>
    <s v="No"/>
    <n v="2625"/>
    <n v="6250"/>
    <n v="187"/>
    <n v="360"/>
    <x v="0"/>
    <x v="1"/>
    <x v="0"/>
    <n v="8875"/>
    <s v="High"/>
    <x v="0"/>
    <s v="Low Risk"/>
  </r>
  <r>
    <s v="LP002139"/>
    <s v="Male"/>
    <s v="Yes"/>
    <n v="0"/>
    <x v="0"/>
    <s v="No"/>
    <n v="9083"/>
    <n v="0"/>
    <n v="228"/>
    <n v="360"/>
    <x v="0"/>
    <x v="2"/>
    <x v="0"/>
    <n v="9083"/>
    <s v="High"/>
    <x v="0"/>
    <s v="Low Risk"/>
  </r>
  <r>
    <s v="LP002140"/>
    <s v="Male"/>
    <s v="No"/>
    <n v="0"/>
    <x v="0"/>
    <s v="No"/>
    <n v="8750"/>
    <n v="4167"/>
    <n v="308"/>
    <n v="360"/>
    <x v="0"/>
    <x v="1"/>
    <x v="1"/>
    <n v="12917"/>
    <s v="Very High"/>
    <x v="1"/>
    <s v="Low Risk"/>
  </r>
  <r>
    <s v="LP002141"/>
    <s v="Male"/>
    <s v="Yes"/>
    <s v="3+"/>
    <x v="0"/>
    <s v="No"/>
    <n v="2666"/>
    <n v="2083"/>
    <n v="95"/>
    <n v="360"/>
    <x v="0"/>
    <x v="1"/>
    <x v="0"/>
    <n v="4749"/>
    <s v="Medium"/>
    <x v="0"/>
    <s v="Low Risk"/>
  </r>
  <r>
    <s v="LP002142"/>
    <s v="Female"/>
    <s v="Yes"/>
    <n v="0"/>
    <x v="0"/>
    <s v="Yes"/>
    <n v="5500"/>
    <n v="0"/>
    <n v="105"/>
    <n v="360"/>
    <x v="1"/>
    <x v="1"/>
    <x v="1"/>
    <n v="5500"/>
    <s v="High"/>
    <x v="1"/>
    <s v="High Risk"/>
  </r>
  <r>
    <s v="LP002143"/>
    <s v="Female"/>
    <s v="Yes"/>
    <n v="0"/>
    <x v="0"/>
    <s v="No"/>
    <n v="2423"/>
    <n v="505"/>
    <n v="130"/>
    <n v="360"/>
    <x v="0"/>
    <x v="2"/>
    <x v="0"/>
    <n v="2928"/>
    <s v="Medium"/>
    <x v="0"/>
    <s v="Low Risk"/>
  </r>
  <r>
    <s v="LP002144"/>
    <s v="Female"/>
    <s v="No"/>
    <n v="0"/>
    <x v="0"/>
    <s v="No"/>
    <n v="3813"/>
    <n v="0"/>
    <n v="116"/>
    <n v="180"/>
    <x v="0"/>
    <x v="0"/>
    <x v="0"/>
    <n v="3813"/>
    <s v="Medium"/>
    <x v="0"/>
    <s v="Low Risk"/>
  </r>
  <r>
    <s v="LP002149"/>
    <s v="Male"/>
    <s v="Yes"/>
    <n v="2"/>
    <x v="0"/>
    <s v="No"/>
    <n v="8333"/>
    <n v="3167"/>
    <n v="165"/>
    <n v="360"/>
    <x v="0"/>
    <x v="1"/>
    <x v="0"/>
    <n v="11500"/>
    <s v="Very High"/>
    <x v="0"/>
    <s v="Low Risk"/>
  </r>
  <r>
    <s v="LP002151"/>
    <s v="Male"/>
    <s v="Yes"/>
    <n v="1"/>
    <x v="0"/>
    <s v="No"/>
    <n v="3875"/>
    <n v="0"/>
    <n v="67"/>
    <n v="360"/>
    <x v="0"/>
    <x v="0"/>
    <x v="1"/>
    <n v="3875"/>
    <s v="Medium"/>
    <x v="1"/>
    <s v="Low Risk"/>
  </r>
  <r>
    <s v="LP002158"/>
    <s v="Male"/>
    <s v="Yes"/>
    <n v="0"/>
    <x v="1"/>
    <s v="No"/>
    <n v="3000"/>
    <n v="1666"/>
    <n v="100"/>
    <n v="480"/>
    <x v="1"/>
    <x v="0"/>
    <x v="1"/>
    <n v="4666"/>
    <s v="Medium"/>
    <x v="1"/>
    <s v="High Risk"/>
  </r>
  <r>
    <s v="LP002160"/>
    <s v="Male"/>
    <s v="Yes"/>
    <s v="3+"/>
    <x v="0"/>
    <s v="No"/>
    <n v="5167"/>
    <n v="3167"/>
    <n v="200"/>
    <n v="360"/>
    <x v="0"/>
    <x v="2"/>
    <x v="0"/>
    <n v="8334"/>
    <s v="High"/>
    <x v="0"/>
    <s v="Low Risk"/>
  </r>
  <r>
    <s v="LP002161"/>
    <s v="Female"/>
    <s v="No"/>
    <n v="1"/>
    <x v="0"/>
    <s v="No"/>
    <n v="4723"/>
    <n v="0"/>
    <n v="81"/>
    <n v="360"/>
    <x v="0"/>
    <x v="2"/>
    <x v="1"/>
    <n v="4723"/>
    <s v="Medium"/>
    <x v="1"/>
    <s v="Low Risk"/>
  </r>
  <r>
    <s v="LP002170"/>
    <s v="Male"/>
    <s v="Yes"/>
    <n v="2"/>
    <x v="0"/>
    <s v="No"/>
    <n v="5000"/>
    <n v="3667"/>
    <n v="236"/>
    <n v="360"/>
    <x v="0"/>
    <x v="2"/>
    <x v="0"/>
    <n v="8667"/>
    <s v="High"/>
    <x v="0"/>
    <s v="Low Risk"/>
  </r>
  <r>
    <s v="LP002175"/>
    <s v="Male"/>
    <s v="Yes"/>
    <n v="0"/>
    <x v="0"/>
    <s v="No"/>
    <n v="4750"/>
    <n v="2333"/>
    <n v="130"/>
    <n v="360"/>
    <x v="0"/>
    <x v="0"/>
    <x v="0"/>
    <n v="7083"/>
    <s v="High"/>
    <x v="0"/>
    <s v="Low Risk"/>
  </r>
  <r>
    <s v="LP002178"/>
    <s v="Male"/>
    <s v="Yes"/>
    <n v="0"/>
    <x v="0"/>
    <s v="No"/>
    <n v="3013"/>
    <n v="3033"/>
    <n v="95"/>
    <n v="300"/>
    <x v="0"/>
    <x v="0"/>
    <x v="0"/>
    <n v="6046"/>
    <s v="High"/>
    <x v="0"/>
    <s v="Low Risk"/>
  </r>
  <r>
    <s v="LP002180"/>
    <s v="Male"/>
    <s v="No"/>
    <n v="0"/>
    <x v="0"/>
    <s v="Yes"/>
    <n v="6822"/>
    <n v="0"/>
    <n v="141"/>
    <n v="360"/>
    <x v="0"/>
    <x v="1"/>
    <x v="0"/>
    <n v="6822"/>
    <s v="High"/>
    <x v="0"/>
    <s v="Low Risk"/>
  </r>
  <r>
    <s v="LP002181"/>
    <s v="Male"/>
    <s v="No"/>
    <n v="0"/>
    <x v="1"/>
    <s v="No"/>
    <n v="6216"/>
    <n v="0"/>
    <n v="133"/>
    <n v="360"/>
    <x v="0"/>
    <x v="1"/>
    <x v="1"/>
    <n v="6216"/>
    <s v="High"/>
    <x v="1"/>
    <s v="Low Risk"/>
  </r>
  <r>
    <s v="LP002187"/>
    <s v="Male"/>
    <s v="No"/>
    <n v="0"/>
    <x v="0"/>
    <s v="No"/>
    <n v="2500"/>
    <n v="0"/>
    <n v="96"/>
    <n v="480"/>
    <x v="0"/>
    <x v="2"/>
    <x v="1"/>
    <n v="2500"/>
    <s v="Medium"/>
    <x v="1"/>
    <s v="Low Risk"/>
  </r>
  <r>
    <s v="LP002188"/>
    <s v="Male"/>
    <s v="No"/>
    <n v="0"/>
    <x v="0"/>
    <s v="No"/>
    <n v="5124"/>
    <n v="0"/>
    <n v="124"/>
    <n v="360"/>
    <x v="1"/>
    <x v="1"/>
    <x v="1"/>
    <n v="5124"/>
    <s v="High"/>
    <x v="1"/>
    <s v="High Risk"/>
  </r>
  <r>
    <s v="LP002190"/>
    <s v="Male"/>
    <s v="Yes"/>
    <n v="1"/>
    <x v="0"/>
    <s v="No"/>
    <n v="6325"/>
    <n v="0"/>
    <n v="175"/>
    <n v="360"/>
    <x v="0"/>
    <x v="2"/>
    <x v="0"/>
    <n v="6325"/>
    <s v="High"/>
    <x v="0"/>
    <s v="Low Risk"/>
  </r>
  <r>
    <s v="LP002191"/>
    <s v="Male"/>
    <s v="Yes"/>
    <n v="0"/>
    <x v="0"/>
    <s v="No"/>
    <n v="19730"/>
    <n v="5266"/>
    <n v="570"/>
    <n v="360"/>
    <x v="0"/>
    <x v="1"/>
    <x v="1"/>
    <n v="24996"/>
    <s v="Very High"/>
    <x v="1"/>
    <s v="Low Risk"/>
  </r>
  <r>
    <s v="LP002194"/>
    <s v="Female"/>
    <s v="No"/>
    <n v="0"/>
    <x v="0"/>
    <s v="Yes"/>
    <n v="15759"/>
    <n v="0"/>
    <n v="55"/>
    <n v="360"/>
    <x v="0"/>
    <x v="2"/>
    <x v="0"/>
    <n v="15759"/>
    <s v="Very High"/>
    <x v="0"/>
    <s v="Low Risk"/>
  </r>
  <r>
    <s v="LP002197"/>
    <s v="Male"/>
    <s v="Yes"/>
    <n v="2"/>
    <x v="0"/>
    <s v="No"/>
    <n v="5185"/>
    <n v="0"/>
    <n v="155"/>
    <n v="360"/>
    <x v="0"/>
    <x v="2"/>
    <x v="0"/>
    <n v="5185"/>
    <s v="High"/>
    <x v="0"/>
    <s v="Low Risk"/>
  </r>
  <r>
    <s v="LP002201"/>
    <s v="Male"/>
    <s v="Yes"/>
    <n v="2"/>
    <x v="0"/>
    <s v="Yes"/>
    <n v="9323"/>
    <n v="7873"/>
    <n v="380"/>
    <n v="300"/>
    <x v="0"/>
    <x v="1"/>
    <x v="0"/>
    <n v="17196"/>
    <s v="Very High"/>
    <x v="0"/>
    <s v="Low Risk"/>
  </r>
  <r>
    <s v="LP002205"/>
    <s v="Male"/>
    <s v="No"/>
    <n v="1"/>
    <x v="0"/>
    <s v="No"/>
    <n v="3062"/>
    <n v="1987"/>
    <n v="111"/>
    <n v="180"/>
    <x v="1"/>
    <x v="0"/>
    <x v="1"/>
    <n v="5049"/>
    <s v="High"/>
    <x v="1"/>
    <s v="High Risk"/>
  </r>
  <r>
    <s v="LP002209"/>
    <s v="Female"/>
    <s v="No"/>
    <n v="0"/>
    <x v="0"/>
    <m/>
    <n v="2764"/>
    <n v="1459"/>
    <n v="110"/>
    <n v="360"/>
    <x v="0"/>
    <x v="0"/>
    <x v="0"/>
    <n v="4223"/>
    <s v="Medium"/>
    <x v="0"/>
    <s v="Low Risk"/>
  </r>
  <r>
    <s v="LP002211"/>
    <s v="Male"/>
    <s v="Yes"/>
    <n v="0"/>
    <x v="0"/>
    <s v="No"/>
    <n v="4817"/>
    <n v="923"/>
    <n v="120"/>
    <n v="180"/>
    <x v="0"/>
    <x v="0"/>
    <x v="0"/>
    <n v="5740"/>
    <s v="High"/>
    <x v="0"/>
    <s v="Low Risk"/>
  </r>
  <r>
    <s v="LP002219"/>
    <s v="Male"/>
    <s v="Yes"/>
    <s v="3+"/>
    <x v="0"/>
    <s v="No"/>
    <n v="8750"/>
    <n v="4996"/>
    <n v="130"/>
    <n v="360"/>
    <x v="0"/>
    <x v="1"/>
    <x v="0"/>
    <n v="13746"/>
    <s v="Very High"/>
    <x v="0"/>
    <s v="Low Risk"/>
  </r>
  <r>
    <s v="LP002223"/>
    <s v="Male"/>
    <s v="Yes"/>
    <n v="0"/>
    <x v="0"/>
    <s v="No"/>
    <n v="4310"/>
    <n v="0"/>
    <n v="130"/>
    <n v="360"/>
    <x v="0"/>
    <x v="2"/>
    <x v="0"/>
    <n v="4310"/>
    <s v="Medium"/>
    <x v="0"/>
    <s v="Low Risk"/>
  </r>
  <r>
    <s v="LP002224"/>
    <s v="Male"/>
    <s v="No"/>
    <n v="0"/>
    <x v="0"/>
    <s v="No"/>
    <n v="3069"/>
    <n v="0"/>
    <n v="71"/>
    <n v="480"/>
    <x v="0"/>
    <x v="0"/>
    <x v="1"/>
    <n v="3069"/>
    <s v="Medium"/>
    <x v="1"/>
    <s v="Low Risk"/>
  </r>
  <r>
    <s v="LP002225"/>
    <s v="Male"/>
    <s v="Yes"/>
    <n v="2"/>
    <x v="0"/>
    <s v="No"/>
    <n v="5391"/>
    <n v="0"/>
    <n v="130"/>
    <n v="360"/>
    <x v="0"/>
    <x v="0"/>
    <x v="0"/>
    <n v="5391"/>
    <s v="High"/>
    <x v="0"/>
    <s v="Low Risk"/>
  </r>
  <r>
    <s v="LP002226"/>
    <s v="Male"/>
    <s v="Yes"/>
    <n v="0"/>
    <x v="0"/>
    <m/>
    <n v="3333"/>
    <n v="2500"/>
    <n v="128"/>
    <n v="360"/>
    <x v="0"/>
    <x v="2"/>
    <x v="0"/>
    <n v="5833"/>
    <s v="High"/>
    <x v="0"/>
    <s v="Low Risk"/>
  </r>
  <r>
    <s v="LP002229"/>
    <s v="Male"/>
    <s v="No"/>
    <n v="0"/>
    <x v="0"/>
    <s v="No"/>
    <n v="5941"/>
    <n v="4232"/>
    <n v="296"/>
    <n v="360"/>
    <x v="0"/>
    <x v="2"/>
    <x v="0"/>
    <n v="10173"/>
    <s v="Very High"/>
    <x v="0"/>
    <s v="Low Risk"/>
  </r>
  <r>
    <s v="LP002231"/>
    <s v="Female"/>
    <s v="No"/>
    <n v="0"/>
    <x v="0"/>
    <s v="No"/>
    <n v="6000"/>
    <n v="0"/>
    <n v="156"/>
    <n v="360"/>
    <x v="0"/>
    <x v="0"/>
    <x v="0"/>
    <n v="6000"/>
    <s v="High"/>
    <x v="0"/>
    <s v="Low Risk"/>
  </r>
  <r>
    <s v="LP002234"/>
    <s v="Male"/>
    <s v="No"/>
    <n v="0"/>
    <x v="0"/>
    <s v="Yes"/>
    <n v="7167"/>
    <n v="0"/>
    <n v="128"/>
    <n v="360"/>
    <x v="0"/>
    <x v="0"/>
    <x v="0"/>
    <n v="7167"/>
    <s v="High"/>
    <x v="0"/>
    <s v="Low Risk"/>
  </r>
  <r>
    <s v="LP002236"/>
    <s v="Male"/>
    <s v="Yes"/>
    <n v="2"/>
    <x v="0"/>
    <s v="No"/>
    <n v="4566"/>
    <n v="0"/>
    <n v="100"/>
    <n v="360"/>
    <x v="0"/>
    <x v="0"/>
    <x v="1"/>
    <n v="4566"/>
    <s v="Medium"/>
    <x v="1"/>
    <s v="Low Risk"/>
  </r>
  <r>
    <s v="LP002237"/>
    <s v="Male"/>
    <s v="No"/>
    <n v="1"/>
    <x v="0"/>
    <m/>
    <n v="3667"/>
    <n v="0"/>
    <n v="113"/>
    <n v="180"/>
    <x v="0"/>
    <x v="0"/>
    <x v="0"/>
    <n v="3667"/>
    <s v="Medium"/>
    <x v="0"/>
    <s v="Low Risk"/>
  </r>
  <r>
    <s v="LP002239"/>
    <s v="Male"/>
    <s v="No"/>
    <n v="0"/>
    <x v="1"/>
    <s v="No"/>
    <n v="2346"/>
    <n v="1600"/>
    <n v="132"/>
    <n v="360"/>
    <x v="0"/>
    <x v="2"/>
    <x v="0"/>
    <n v="3946"/>
    <s v="Medium"/>
    <x v="0"/>
    <s v="Low Risk"/>
  </r>
  <r>
    <s v="LP002243"/>
    <s v="Male"/>
    <s v="Yes"/>
    <n v="0"/>
    <x v="1"/>
    <s v="No"/>
    <n v="3010"/>
    <n v="3136"/>
    <n v="128"/>
    <n v="360"/>
    <x v="1"/>
    <x v="0"/>
    <x v="1"/>
    <n v="6146"/>
    <s v="High"/>
    <x v="1"/>
    <s v="High Risk"/>
  </r>
  <r>
    <s v="LP002244"/>
    <s v="Male"/>
    <s v="Yes"/>
    <n v="0"/>
    <x v="0"/>
    <s v="No"/>
    <n v="2333"/>
    <n v="2417"/>
    <n v="136"/>
    <n v="360"/>
    <x v="0"/>
    <x v="0"/>
    <x v="0"/>
    <n v="4750"/>
    <s v="Medium"/>
    <x v="0"/>
    <s v="Low Risk"/>
  </r>
  <r>
    <s v="LP002250"/>
    <s v="Male"/>
    <s v="Yes"/>
    <n v="0"/>
    <x v="0"/>
    <s v="No"/>
    <n v="5488"/>
    <n v="0"/>
    <n v="125"/>
    <n v="360"/>
    <x v="0"/>
    <x v="1"/>
    <x v="0"/>
    <n v="5488"/>
    <s v="High"/>
    <x v="0"/>
    <s v="Low Risk"/>
  </r>
  <r>
    <s v="LP002255"/>
    <s v="Male"/>
    <s v="No"/>
    <s v="3+"/>
    <x v="0"/>
    <s v="No"/>
    <n v="9167"/>
    <n v="0"/>
    <n v="185"/>
    <n v="360"/>
    <x v="0"/>
    <x v="1"/>
    <x v="0"/>
    <n v="9167"/>
    <s v="High"/>
    <x v="0"/>
    <s v="Low Risk"/>
  </r>
  <r>
    <s v="LP002262"/>
    <s v="Male"/>
    <s v="Yes"/>
    <s v="3+"/>
    <x v="0"/>
    <s v="No"/>
    <n v="9504"/>
    <n v="0"/>
    <n v="275"/>
    <n v="360"/>
    <x v="0"/>
    <x v="1"/>
    <x v="0"/>
    <n v="9504"/>
    <s v="High"/>
    <x v="0"/>
    <s v="Low Risk"/>
  </r>
  <r>
    <s v="LP002263"/>
    <s v="Male"/>
    <s v="Yes"/>
    <n v="0"/>
    <x v="0"/>
    <s v="No"/>
    <n v="2583"/>
    <n v="2115"/>
    <n v="120"/>
    <n v="360"/>
    <x v="0"/>
    <x v="0"/>
    <x v="0"/>
    <n v="4698"/>
    <s v="Medium"/>
    <x v="0"/>
    <s v="Low Risk"/>
  </r>
  <r>
    <s v="LP002265"/>
    <s v="Male"/>
    <s v="Yes"/>
    <n v="2"/>
    <x v="1"/>
    <s v="No"/>
    <n v="1993"/>
    <n v="1625"/>
    <n v="113"/>
    <n v="180"/>
    <x v="0"/>
    <x v="2"/>
    <x v="0"/>
    <n v="3618"/>
    <s v="Medium"/>
    <x v="0"/>
    <s v="Low Risk"/>
  </r>
  <r>
    <s v="LP002266"/>
    <s v="Male"/>
    <s v="Yes"/>
    <n v="2"/>
    <x v="0"/>
    <s v="No"/>
    <n v="3100"/>
    <n v="1400"/>
    <n v="113"/>
    <n v="360"/>
    <x v="0"/>
    <x v="0"/>
    <x v="0"/>
    <n v="4500"/>
    <s v="Medium"/>
    <x v="0"/>
    <s v="Low Risk"/>
  </r>
  <r>
    <s v="LP002272"/>
    <s v="Male"/>
    <s v="Yes"/>
    <n v="2"/>
    <x v="0"/>
    <s v="No"/>
    <n v="3276"/>
    <n v="484"/>
    <n v="135"/>
    <n v="360"/>
    <x v="0"/>
    <x v="2"/>
    <x v="0"/>
    <n v="3760"/>
    <s v="Medium"/>
    <x v="0"/>
    <s v="Low Risk"/>
  </r>
  <r>
    <s v="LP002277"/>
    <s v="Female"/>
    <s v="No"/>
    <n v="0"/>
    <x v="0"/>
    <s v="No"/>
    <n v="3180"/>
    <n v="0"/>
    <n v="71"/>
    <n v="360"/>
    <x v="1"/>
    <x v="0"/>
    <x v="1"/>
    <n v="3180"/>
    <s v="Medium"/>
    <x v="1"/>
    <s v="High Risk"/>
  </r>
  <r>
    <s v="LP002281"/>
    <s v="Male"/>
    <s v="Yes"/>
    <n v="0"/>
    <x v="0"/>
    <s v="No"/>
    <n v="3033"/>
    <n v="1459"/>
    <n v="95"/>
    <n v="360"/>
    <x v="0"/>
    <x v="0"/>
    <x v="0"/>
    <n v="4492"/>
    <s v="Medium"/>
    <x v="0"/>
    <s v="Low Risk"/>
  </r>
  <r>
    <s v="LP002284"/>
    <s v="Male"/>
    <s v="No"/>
    <n v="0"/>
    <x v="1"/>
    <s v="No"/>
    <n v="3902"/>
    <n v="1666"/>
    <n v="109"/>
    <n v="360"/>
    <x v="0"/>
    <x v="1"/>
    <x v="0"/>
    <n v="5568"/>
    <s v="High"/>
    <x v="0"/>
    <s v="Low Risk"/>
  </r>
  <r>
    <s v="LP002287"/>
    <s v="Female"/>
    <s v="No"/>
    <n v="0"/>
    <x v="0"/>
    <s v="No"/>
    <n v="1500"/>
    <n v="1800"/>
    <n v="103"/>
    <n v="360"/>
    <x v="1"/>
    <x v="2"/>
    <x v="1"/>
    <n v="3300"/>
    <s v="Medium"/>
    <x v="1"/>
    <s v="High Risk"/>
  </r>
  <r>
    <s v="LP002288"/>
    <s v="Male"/>
    <s v="Yes"/>
    <n v="2"/>
    <x v="1"/>
    <s v="No"/>
    <n v="2889"/>
    <n v="0"/>
    <n v="45"/>
    <n v="180"/>
    <x v="1"/>
    <x v="0"/>
    <x v="1"/>
    <n v="2889"/>
    <s v="Medium"/>
    <x v="1"/>
    <s v="High Risk"/>
  </r>
  <r>
    <s v="LP002296"/>
    <s v="Male"/>
    <s v="No"/>
    <n v="0"/>
    <x v="1"/>
    <s v="No"/>
    <n v="2755"/>
    <n v="0"/>
    <n v="65"/>
    <n v="300"/>
    <x v="0"/>
    <x v="1"/>
    <x v="1"/>
    <n v="2755"/>
    <s v="Medium"/>
    <x v="1"/>
    <s v="Low Risk"/>
  </r>
  <r>
    <s v="LP002297"/>
    <s v="Male"/>
    <s v="No"/>
    <n v="0"/>
    <x v="0"/>
    <s v="No"/>
    <n v="2500"/>
    <n v="20000"/>
    <n v="103"/>
    <n v="360"/>
    <x v="0"/>
    <x v="2"/>
    <x v="0"/>
    <n v="22500"/>
    <s v="Very High"/>
    <x v="0"/>
    <s v="Low Risk"/>
  </r>
  <r>
    <s v="LP002300"/>
    <s v="Female"/>
    <s v="No"/>
    <n v="0"/>
    <x v="1"/>
    <s v="No"/>
    <n v="1963"/>
    <n v="0"/>
    <n v="53"/>
    <n v="360"/>
    <x v="0"/>
    <x v="2"/>
    <x v="0"/>
    <n v="1963"/>
    <s v="Low"/>
    <x v="0"/>
    <s v="Low Risk"/>
  </r>
  <r>
    <s v="LP002301"/>
    <s v="Female"/>
    <s v="No"/>
    <n v="0"/>
    <x v="0"/>
    <s v="Yes"/>
    <n v="7441"/>
    <n v="0"/>
    <n v="194"/>
    <n v="360"/>
    <x v="0"/>
    <x v="1"/>
    <x v="1"/>
    <n v="7441"/>
    <s v="High"/>
    <x v="1"/>
    <s v="Low Risk"/>
  </r>
  <r>
    <s v="LP002305"/>
    <s v="Female"/>
    <s v="No"/>
    <n v="0"/>
    <x v="0"/>
    <s v="No"/>
    <n v="4547"/>
    <n v="0"/>
    <n v="115"/>
    <n v="360"/>
    <x v="0"/>
    <x v="2"/>
    <x v="0"/>
    <n v="4547"/>
    <s v="Medium"/>
    <x v="0"/>
    <s v="Low Risk"/>
  </r>
  <r>
    <s v="LP002308"/>
    <s v="Male"/>
    <s v="Yes"/>
    <n v="0"/>
    <x v="1"/>
    <s v="No"/>
    <n v="2167"/>
    <n v="2400"/>
    <n v="115"/>
    <n v="360"/>
    <x v="0"/>
    <x v="0"/>
    <x v="0"/>
    <n v="4567"/>
    <s v="Medium"/>
    <x v="0"/>
    <s v="Low Risk"/>
  </r>
  <r>
    <s v="LP002314"/>
    <s v="Female"/>
    <s v="No"/>
    <n v="0"/>
    <x v="1"/>
    <s v="No"/>
    <n v="2213"/>
    <n v="0"/>
    <n v="66"/>
    <n v="360"/>
    <x v="0"/>
    <x v="1"/>
    <x v="0"/>
    <n v="2213"/>
    <s v="Low"/>
    <x v="0"/>
    <s v="Low Risk"/>
  </r>
  <r>
    <s v="LP002315"/>
    <s v="Male"/>
    <s v="Yes"/>
    <n v="1"/>
    <x v="0"/>
    <s v="No"/>
    <n v="8300"/>
    <n v="0"/>
    <n v="152"/>
    <n v="300"/>
    <x v="1"/>
    <x v="2"/>
    <x v="1"/>
    <n v="8300"/>
    <s v="High"/>
    <x v="1"/>
    <s v="High Risk"/>
  </r>
  <r>
    <s v="LP002317"/>
    <s v="Male"/>
    <s v="Yes"/>
    <s v="3+"/>
    <x v="0"/>
    <s v="No"/>
    <n v="81000"/>
    <n v="0"/>
    <n v="360"/>
    <n v="360"/>
    <x v="1"/>
    <x v="1"/>
    <x v="1"/>
    <n v="81000"/>
    <s v="Very High"/>
    <x v="1"/>
    <s v="High Risk"/>
  </r>
  <r>
    <s v="LP002318"/>
    <s v="Female"/>
    <s v="No"/>
    <n v="1"/>
    <x v="1"/>
    <s v="Yes"/>
    <n v="3867"/>
    <n v="0"/>
    <n v="62"/>
    <n v="360"/>
    <x v="0"/>
    <x v="2"/>
    <x v="1"/>
    <n v="3867"/>
    <s v="Medium"/>
    <x v="1"/>
    <s v="Low Risk"/>
  </r>
  <r>
    <s v="LP002319"/>
    <s v="Male"/>
    <s v="Yes"/>
    <n v="0"/>
    <x v="0"/>
    <m/>
    <n v="6256"/>
    <n v="0"/>
    <n v="160"/>
    <n v="360"/>
    <x v="0"/>
    <x v="0"/>
    <x v="0"/>
    <n v="6256"/>
    <s v="High"/>
    <x v="0"/>
    <s v="Low Risk"/>
  </r>
  <r>
    <s v="LP002328"/>
    <s v="Male"/>
    <s v="Yes"/>
    <n v="0"/>
    <x v="1"/>
    <s v="No"/>
    <n v="6096"/>
    <n v="0"/>
    <n v="218"/>
    <n v="360"/>
    <x v="1"/>
    <x v="1"/>
    <x v="1"/>
    <n v="6096"/>
    <s v="High"/>
    <x v="1"/>
    <s v="High Risk"/>
  </r>
  <r>
    <s v="LP002332"/>
    <s v="Male"/>
    <s v="Yes"/>
    <n v="0"/>
    <x v="1"/>
    <s v="No"/>
    <n v="2253"/>
    <n v="2033"/>
    <n v="110"/>
    <n v="360"/>
    <x v="0"/>
    <x v="1"/>
    <x v="0"/>
    <n v="4286"/>
    <s v="Medium"/>
    <x v="0"/>
    <s v="Low Risk"/>
  </r>
  <r>
    <s v="LP002335"/>
    <s v="Female"/>
    <s v="Yes"/>
    <n v="0"/>
    <x v="1"/>
    <s v="No"/>
    <n v="2149"/>
    <n v="3237"/>
    <n v="178"/>
    <n v="360"/>
    <x v="1"/>
    <x v="2"/>
    <x v="1"/>
    <n v="5386"/>
    <s v="High"/>
    <x v="1"/>
    <s v="High Risk"/>
  </r>
  <r>
    <s v="LP002337"/>
    <s v="Female"/>
    <s v="No"/>
    <n v="0"/>
    <x v="0"/>
    <s v="No"/>
    <n v="2995"/>
    <n v="0"/>
    <n v="60"/>
    <n v="360"/>
    <x v="0"/>
    <x v="0"/>
    <x v="0"/>
    <n v="2995"/>
    <s v="Medium"/>
    <x v="0"/>
    <s v="Low Risk"/>
  </r>
  <r>
    <s v="LP002341"/>
    <s v="Female"/>
    <s v="No"/>
    <n v="1"/>
    <x v="0"/>
    <s v="No"/>
    <n v="2600"/>
    <n v="0"/>
    <n v="160"/>
    <n v="360"/>
    <x v="0"/>
    <x v="0"/>
    <x v="1"/>
    <n v="2600"/>
    <s v="Medium"/>
    <x v="1"/>
    <s v="Low Risk"/>
  </r>
  <r>
    <s v="LP002342"/>
    <s v="Male"/>
    <s v="Yes"/>
    <n v="2"/>
    <x v="0"/>
    <s v="Yes"/>
    <n v="1600"/>
    <n v="20000"/>
    <n v="239"/>
    <n v="360"/>
    <x v="0"/>
    <x v="0"/>
    <x v="1"/>
    <n v="21600"/>
    <s v="Very High"/>
    <x v="1"/>
    <s v="Low Risk"/>
  </r>
  <r>
    <s v="LP002345"/>
    <s v="Male"/>
    <s v="Yes"/>
    <n v="0"/>
    <x v="0"/>
    <s v="No"/>
    <n v="1025"/>
    <n v="2773"/>
    <n v="112"/>
    <n v="360"/>
    <x v="0"/>
    <x v="1"/>
    <x v="0"/>
    <n v="3798"/>
    <s v="Medium"/>
    <x v="0"/>
    <s v="Low Risk"/>
  </r>
  <r>
    <s v="LP002347"/>
    <s v="Male"/>
    <s v="Yes"/>
    <n v="0"/>
    <x v="0"/>
    <s v="No"/>
    <n v="3246"/>
    <n v="1417"/>
    <n v="138"/>
    <n v="360"/>
    <x v="0"/>
    <x v="2"/>
    <x v="0"/>
    <n v="4663"/>
    <s v="Medium"/>
    <x v="0"/>
    <s v="Low Risk"/>
  </r>
  <r>
    <s v="LP002348"/>
    <s v="Male"/>
    <s v="Yes"/>
    <n v="0"/>
    <x v="0"/>
    <s v="No"/>
    <n v="5829"/>
    <n v="0"/>
    <n v="138"/>
    <n v="360"/>
    <x v="0"/>
    <x v="1"/>
    <x v="0"/>
    <n v="5829"/>
    <s v="High"/>
    <x v="0"/>
    <s v="Low Risk"/>
  </r>
  <r>
    <s v="LP002357"/>
    <s v="Female"/>
    <s v="No"/>
    <n v="0"/>
    <x v="1"/>
    <s v="No"/>
    <n v="2720"/>
    <n v="0"/>
    <n v="80"/>
    <n v="360"/>
    <x v="1"/>
    <x v="0"/>
    <x v="1"/>
    <n v="2720"/>
    <s v="Medium"/>
    <x v="1"/>
    <s v="High Risk"/>
  </r>
  <r>
    <s v="LP002361"/>
    <s v="Male"/>
    <s v="Yes"/>
    <n v="0"/>
    <x v="0"/>
    <s v="No"/>
    <n v="1820"/>
    <n v="1719"/>
    <n v="100"/>
    <n v="360"/>
    <x v="0"/>
    <x v="0"/>
    <x v="0"/>
    <n v="3539"/>
    <s v="Medium"/>
    <x v="0"/>
    <s v="Low Risk"/>
  </r>
  <r>
    <s v="LP002362"/>
    <s v="Male"/>
    <s v="Yes"/>
    <n v="1"/>
    <x v="0"/>
    <s v="No"/>
    <n v="7250"/>
    <n v="1667"/>
    <n v="110"/>
    <n v="360"/>
    <x v="1"/>
    <x v="0"/>
    <x v="1"/>
    <n v="8917"/>
    <s v="High"/>
    <x v="1"/>
    <s v="High Risk"/>
  </r>
  <r>
    <s v="LP002364"/>
    <s v="Male"/>
    <s v="Yes"/>
    <n v="0"/>
    <x v="0"/>
    <s v="No"/>
    <n v="14880"/>
    <n v="0"/>
    <n v="96"/>
    <n v="360"/>
    <x v="0"/>
    <x v="2"/>
    <x v="0"/>
    <n v="14880"/>
    <s v="Very High"/>
    <x v="0"/>
    <s v="Low Risk"/>
  </r>
  <r>
    <s v="LP002366"/>
    <s v="Male"/>
    <s v="Yes"/>
    <n v="0"/>
    <x v="0"/>
    <s v="No"/>
    <n v="2666"/>
    <n v="4300"/>
    <n v="121"/>
    <n v="360"/>
    <x v="0"/>
    <x v="1"/>
    <x v="0"/>
    <n v="6966"/>
    <s v="High"/>
    <x v="0"/>
    <s v="Low Risk"/>
  </r>
  <r>
    <s v="LP002367"/>
    <s v="Female"/>
    <s v="No"/>
    <n v="1"/>
    <x v="1"/>
    <s v="No"/>
    <n v="4606"/>
    <n v="0"/>
    <n v="81"/>
    <n v="360"/>
    <x v="0"/>
    <x v="1"/>
    <x v="1"/>
    <n v="4606"/>
    <s v="Medium"/>
    <x v="1"/>
    <s v="Low Risk"/>
  </r>
  <r>
    <s v="LP002368"/>
    <s v="Male"/>
    <s v="Yes"/>
    <n v="2"/>
    <x v="0"/>
    <s v="No"/>
    <n v="5935"/>
    <n v="0"/>
    <n v="133"/>
    <n v="360"/>
    <x v="0"/>
    <x v="2"/>
    <x v="0"/>
    <n v="5935"/>
    <s v="High"/>
    <x v="0"/>
    <s v="Low Risk"/>
  </r>
  <r>
    <s v="LP002369"/>
    <s v="Male"/>
    <s v="Yes"/>
    <n v="0"/>
    <x v="0"/>
    <s v="No"/>
    <n v="2920"/>
    <n v="16.120000839999999"/>
    <n v="87"/>
    <n v="360"/>
    <x v="0"/>
    <x v="1"/>
    <x v="0"/>
    <n v="2936.1200008400001"/>
    <s v="Medium"/>
    <x v="0"/>
    <s v="Low Risk"/>
  </r>
  <r>
    <s v="LP002370"/>
    <s v="Male"/>
    <s v="No"/>
    <n v="0"/>
    <x v="1"/>
    <s v="No"/>
    <n v="2717"/>
    <n v="0"/>
    <n v="60"/>
    <n v="180"/>
    <x v="0"/>
    <x v="0"/>
    <x v="0"/>
    <n v="2717"/>
    <s v="Medium"/>
    <x v="0"/>
    <s v="Low Risk"/>
  </r>
  <r>
    <s v="LP002377"/>
    <s v="Female"/>
    <s v="No"/>
    <n v="1"/>
    <x v="0"/>
    <s v="Yes"/>
    <n v="8624"/>
    <n v="0"/>
    <n v="150"/>
    <n v="360"/>
    <x v="0"/>
    <x v="2"/>
    <x v="0"/>
    <n v="8624"/>
    <s v="High"/>
    <x v="0"/>
    <s v="Low Risk"/>
  </r>
  <r>
    <s v="LP002379"/>
    <s v="Male"/>
    <s v="No"/>
    <n v="0"/>
    <x v="0"/>
    <s v="No"/>
    <n v="6500"/>
    <n v="0"/>
    <n v="105"/>
    <n v="360"/>
    <x v="1"/>
    <x v="1"/>
    <x v="1"/>
    <n v="6500"/>
    <s v="High"/>
    <x v="1"/>
    <s v="High Risk"/>
  </r>
  <r>
    <s v="LP002386"/>
    <s v="Male"/>
    <s v="No"/>
    <n v="0"/>
    <x v="0"/>
    <m/>
    <n v="12876"/>
    <n v="0"/>
    <n v="405"/>
    <n v="360"/>
    <x v="0"/>
    <x v="2"/>
    <x v="0"/>
    <n v="12876"/>
    <s v="Very High"/>
    <x v="0"/>
    <s v="Low Risk"/>
  </r>
  <r>
    <s v="LP002387"/>
    <s v="Male"/>
    <s v="Yes"/>
    <n v="0"/>
    <x v="0"/>
    <s v="No"/>
    <n v="2425"/>
    <n v="2340"/>
    <n v="143"/>
    <n v="360"/>
    <x v="0"/>
    <x v="2"/>
    <x v="0"/>
    <n v="4765"/>
    <s v="Medium"/>
    <x v="0"/>
    <s v="Low Risk"/>
  </r>
  <r>
    <s v="LP002390"/>
    <s v="Male"/>
    <s v="No"/>
    <n v="0"/>
    <x v="0"/>
    <s v="No"/>
    <n v="3750"/>
    <n v="0"/>
    <n v="100"/>
    <n v="360"/>
    <x v="0"/>
    <x v="0"/>
    <x v="0"/>
    <n v="3750"/>
    <s v="Medium"/>
    <x v="0"/>
    <s v="Low Risk"/>
  </r>
  <r>
    <s v="LP002393"/>
    <s v="Female"/>
    <s v="Yes"/>
    <n v="0"/>
    <x v="0"/>
    <s v="No"/>
    <n v="10047"/>
    <n v="0"/>
    <n v="128"/>
    <n v="240"/>
    <x v="0"/>
    <x v="2"/>
    <x v="0"/>
    <n v="10047"/>
    <s v="Very High"/>
    <x v="0"/>
    <s v="Low Risk"/>
  </r>
  <r>
    <s v="LP002398"/>
    <s v="Male"/>
    <s v="No"/>
    <n v="0"/>
    <x v="0"/>
    <s v="No"/>
    <n v="1926"/>
    <n v="1851"/>
    <n v="50"/>
    <n v="360"/>
    <x v="0"/>
    <x v="2"/>
    <x v="0"/>
    <n v="3777"/>
    <s v="Medium"/>
    <x v="0"/>
    <s v="Low Risk"/>
  </r>
  <r>
    <s v="LP002401"/>
    <s v="Male"/>
    <s v="Yes"/>
    <n v="0"/>
    <x v="0"/>
    <s v="No"/>
    <n v="2213"/>
    <n v="1125"/>
    <n v="128"/>
    <n v="360"/>
    <x v="0"/>
    <x v="0"/>
    <x v="0"/>
    <n v="3338"/>
    <s v="Medium"/>
    <x v="0"/>
    <s v="Low Risk"/>
  </r>
  <r>
    <s v="LP002403"/>
    <s v="Male"/>
    <s v="No"/>
    <n v="0"/>
    <x v="0"/>
    <s v="Yes"/>
    <n v="10416"/>
    <n v="0"/>
    <n v="187"/>
    <n v="360"/>
    <x v="1"/>
    <x v="0"/>
    <x v="1"/>
    <n v="10416"/>
    <s v="Very High"/>
    <x v="1"/>
    <s v="High Risk"/>
  </r>
  <r>
    <s v="LP002407"/>
    <s v="Female"/>
    <s v="Yes"/>
    <n v="0"/>
    <x v="1"/>
    <s v="Yes"/>
    <n v="7142"/>
    <n v="0"/>
    <n v="138"/>
    <n v="360"/>
    <x v="0"/>
    <x v="1"/>
    <x v="0"/>
    <n v="7142"/>
    <s v="High"/>
    <x v="0"/>
    <s v="Low Risk"/>
  </r>
  <r>
    <s v="LP002408"/>
    <s v="Male"/>
    <s v="No"/>
    <n v="0"/>
    <x v="0"/>
    <s v="No"/>
    <n v="3660"/>
    <n v="5064"/>
    <n v="187"/>
    <n v="360"/>
    <x v="0"/>
    <x v="2"/>
    <x v="0"/>
    <n v="8724"/>
    <s v="High"/>
    <x v="0"/>
    <s v="Low Risk"/>
  </r>
  <r>
    <s v="LP002409"/>
    <s v="Male"/>
    <s v="Yes"/>
    <n v="0"/>
    <x v="0"/>
    <s v="No"/>
    <n v="7901"/>
    <n v="1833"/>
    <n v="180"/>
    <n v="360"/>
    <x v="0"/>
    <x v="1"/>
    <x v="0"/>
    <n v="9734"/>
    <s v="High"/>
    <x v="0"/>
    <s v="Low Risk"/>
  </r>
  <r>
    <s v="LP002418"/>
    <s v="Male"/>
    <s v="No"/>
    <s v="3+"/>
    <x v="1"/>
    <s v="No"/>
    <n v="4707"/>
    <n v="1993"/>
    <n v="148"/>
    <n v="360"/>
    <x v="0"/>
    <x v="2"/>
    <x v="0"/>
    <n v="6700"/>
    <s v="High"/>
    <x v="0"/>
    <s v="Low Risk"/>
  </r>
  <r>
    <s v="LP002422"/>
    <s v="Male"/>
    <s v="No"/>
    <n v="1"/>
    <x v="0"/>
    <s v="No"/>
    <n v="37719"/>
    <n v="0"/>
    <n v="152"/>
    <n v="360"/>
    <x v="0"/>
    <x v="2"/>
    <x v="0"/>
    <n v="37719"/>
    <s v="Very High"/>
    <x v="0"/>
    <s v="Low Risk"/>
  </r>
  <r>
    <s v="LP002424"/>
    <s v="Male"/>
    <s v="Yes"/>
    <n v="0"/>
    <x v="0"/>
    <s v="No"/>
    <n v="7333"/>
    <n v="8333"/>
    <n v="175"/>
    <n v="300"/>
    <x v="0"/>
    <x v="1"/>
    <x v="0"/>
    <n v="15666"/>
    <s v="Very High"/>
    <x v="0"/>
    <s v="Low Risk"/>
  </r>
  <r>
    <s v="LP002429"/>
    <s v="Male"/>
    <s v="Yes"/>
    <n v="1"/>
    <x v="0"/>
    <s v="Yes"/>
    <n v="3466"/>
    <n v="1210"/>
    <n v="130"/>
    <n v="360"/>
    <x v="0"/>
    <x v="1"/>
    <x v="0"/>
    <n v="4676"/>
    <s v="Medium"/>
    <x v="0"/>
    <s v="Low Risk"/>
  </r>
  <r>
    <s v="LP002434"/>
    <s v="Male"/>
    <s v="Yes"/>
    <n v="2"/>
    <x v="1"/>
    <s v="No"/>
    <n v="4652"/>
    <n v="0"/>
    <n v="110"/>
    <n v="360"/>
    <x v="0"/>
    <x v="1"/>
    <x v="0"/>
    <n v="4652"/>
    <s v="Medium"/>
    <x v="0"/>
    <s v="Low Risk"/>
  </r>
  <r>
    <s v="LP002435"/>
    <s v="Male"/>
    <s v="Yes"/>
    <n v="0"/>
    <x v="0"/>
    <m/>
    <n v="3539"/>
    <n v="1376"/>
    <n v="55"/>
    <n v="360"/>
    <x v="0"/>
    <x v="1"/>
    <x v="1"/>
    <n v="4915"/>
    <s v="Medium"/>
    <x v="1"/>
    <s v="Low Risk"/>
  </r>
  <r>
    <s v="LP002443"/>
    <s v="Male"/>
    <s v="Yes"/>
    <n v="2"/>
    <x v="0"/>
    <s v="No"/>
    <n v="3340"/>
    <n v="1710"/>
    <n v="150"/>
    <n v="360"/>
    <x v="1"/>
    <x v="1"/>
    <x v="1"/>
    <n v="5050"/>
    <s v="High"/>
    <x v="1"/>
    <s v="High Risk"/>
  </r>
  <r>
    <s v="LP002444"/>
    <s v="Male"/>
    <s v="No"/>
    <n v="1"/>
    <x v="1"/>
    <s v="Yes"/>
    <n v="2769"/>
    <n v="1542"/>
    <n v="190"/>
    <n v="360"/>
    <x v="0"/>
    <x v="2"/>
    <x v="1"/>
    <n v="4311"/>
    <s v="Medium"/>
    <x v="1"/>
    <s v="Low Risk"/>
  </r>
  <r>
    <s v="LP002446"/>
    <s v="Male"/>
    <s v="Yes"/>
    <n v="2"/>
    <x v="1"/>
    <s v="No"/>
    <n v="2309"/>
    <n v="1255"/>
    <n v="125"/>
    <n v="360"/>
    <x v="1"/>
    <x v="1"/>
    <x v="1"/>
    <n v="3564"/>
    <s v="Medium"/>
    <x v="1"/>
    <s v="High Risk"/>
  </r>
  <r>
    <s v="LP002447"/>
    <s v="Male"/>
    <s v="Yes"/>
    <n v="2"/>
    <x v="1"/>
    <s v="No"/>
    <n v="1958"/>
    <n v="1456"/>
    <n v="60"/>
    <n v="300"/>
    <x v="0"/>
    <x v="0"/>
    <x v="0"/>
    <n v="3414"/>
    <s v="Medium"/>
    <x v="0"/>
    <s v="Low Risk"/>
  </r>
  <r>
    <s v="LP002448"/>
    <s v="Male"/>
    <s v="Yes"/>
    <n v="0"/>
    <x v="0"/>
    <s v="No"/>
    <n v="3948"/>
    <n v="1733"/>
    <n v="149"/>
    <n v="360"/>
    <x v="1"/>
    <x v="1"/>
    <x v="1"/>
    <n v="5681"/>
    <s v="High"/>
    <x v="1"/>
    <s v="High Risk"/>
  </r>
  <r>
    <s v="LP002449"/>
    <s v="Male"/>
    <s v="Yes"/>
    <n v="0"/>
    <x v="0"/>
    <s v="No"/>
    <n v="2483"/>
    <n v="2466"/>
    <n v="90"/>
    <n v="180"/>
    <x v="1"/>
    <x v="1"/>
    <x v="0"/>
    <n v="4949"/>
    <s v="Medium"/>
    <x v="0"/>
    <s v="High Risk"/>
  </r>
  <r>
    <s v="LP002453"/>
    <s v="Male"/>
    <s v="No"/>
    <n v="0"/>
    <x v="0"/>
    <s v="Yes"/>
    <n v="7085"/>
    <n v="0"/>
    <n v="84"/>
    <n v="360"/>
    <x v="0"/>
    <x v="2"/>
    <x v="0"/>
    <n v="7085"/>
    <s v="High"/>
    <x v="0"/>
    <s v="Low Risk"/>
  </r>
  <r>
    <s v="LP002455"/>
    <s v="Male"/>
    <s v="Yes"/>
    <n v="2"/>
    <x v="0"/>
    <s v="No"/>
    <n v="3859"/>
    <n v="0"/>
    <n v="96"/>
    <n v="360"/>
    <x v="0"/>
    <x v="2"/>
    <x v="0"/>
    <n v="3859"/>
    <s v="Medium"/>
    <x v="0"/>
    <s v="Low Risk"/>
  </r>
  <r>
    <s v="LP002459"/>
    <s v="Male"/>
    <s v="Yes"/>
    <n v="0"/>
    <x v="0"/>
    <s v="No"/>
    <n v="4301"/>
    <n v="0"/>
    <n v="118"/>
    <n v="360"/>
    <x v="0"/>
    <x v="0"/>
    <x v="0"/>
    <n v="4301"/>
    <s v="Medium"/>
    <x v="0"/>
    <s v="Low Risk"/>
  </r>
  <r>
    <s v="LP002467"/>
    <s v="Male"/>
    <s v="Yes"/>
    <n v="0"/>
    <x v="0"/>
    <s v="No"/>
    <n v="3708"/>
    <n v="2569"/>
    <n v="173"/>
    <n v="360"/>
    <x v="0"/>
    <x v="0"/>
    <x v="1"/>
    <n v="6277"/>
    <s v="High"/>
    <x v="1"/>
    <s v="Low Risk"/>
  </r>
  <r>
    <s v="LP002472"/>
    <s v="Male"/>
    <s v="No"/>
    <n v="2"/>
    <x v="0"/>
    <s v="No"/>
    <n v="4354"/>
    <n v="0"/>
    <n v="136"/>
    <n v="360"/>
    <x v="0"/>
    <x v="1"/>
    <x v="0"/>
    <n v="4354"/>
    <s v="Medium"/>
    <x v="0"/>
    <s v="Low Risk"/>
  </r>
  <r>
    <s v="LP002473"/>
    <s v="Male"/>
    <s v="Yes"/>
    <n v="0"/>
    <x v="0"/>
    <s v="No"/>
    <n v="8334"/>
    <n v="0"/>
    <n v="160"/>
    <n v="360"/>
    <x v="0"/>
    <x v="2"/>
    <x v="1"/>
    <n v="8334"/>
    <s v="High"/>
    <x v="1"/>
    <s v="Low Risk"/>
  </r>
  <r>
    <s v="LP002478"/>
    <s v="Male"/>
    <s v="Yes"/>
    <n v="0"/>
    <x v="0"/>
    <s v="Yes"/>
    <n v="2083"/>
    <n v="4083"/>
    <n v="160"/>
    <n v="360"/>
    <x v="0"/>
    <x v="2"/>
    <x v="0"/>
    <n v="6166"/>
    <s v="High"/>
    <x v="0"/>
    <s v="Low Risk"/>
  </r>
  <r>
    <s v="LP002484"/>
    <s v="Male"/>
    <s v="Yes"/>
    <s v="3+"/>
    <x v="0"/>
    <s v="No"/>
    <n v="7740"/>
    <n v="0"/>
    <n v="128"/>
    <n v="180"/>
    <x v="0"/>
    <x v="0"/>
    <x v="0"/>
    <n v="7740"/>
    <s v="High"/>
    <x v="0"/>
    <s v="Low Risk"/>
  </r>
  <r>
    <s v="LP002487"/>
    <s v="Male"/>
    <s v="Yes"/>
    <n v="0"/>
    <x v="0"/>
    <s v="No"/>
    <n v="3015"/>
    <n v="2188"/>
    <n v="153"/>
    <n v="360"/>
    <x v="0"/>
    <x v="1"/>
    <x v="0"/>
    <n v="5203"/>
    <s v="High"/>
    <x v="0"/>
    <s v="Low Risk"/>
  </r>
  <r>
    <s v="LP002489"/>
    <s v="Female"/>
    <s v="No"/>
    <n v="1"/>
    <x v="1"/>
    <m/>
    <n v="5191"/>
    <n v="0"/>
    <n v="132"/>
    <n v="360"/>
    <x v="0"/>
    <x v="2"/>
    <x v="0"/>
    <n v="5191"/>
    <s v="High"/>
    <x v="0"/>
    <s v="Low Risk"/>
  </r>
  <r>
    <s v="LP002493"/>
    <s v="Male"/>
    <s v="No"/>
    <n v="0"/>
    <x v="0"/>
    <s v="No"/>
    <n v="4166"/>
    <n v="0"/>
    <n v="98"/>
    <n v="360"/>
    <x v="1"/>
    <x v="2"/>
    <x v="1"/>
    <n v="4166"/>
    <s v="Medium"/>
    <x v="1"/>
    <s v="High Risk"/>
  </r>
  <r>
    <s v="LP002494"/>
    <s v="Male"/>
    <s v="No"/>
    <n v="0"/>
    <x v="0"/>
    <s v="No"/>
    <n v="6000"/>
    <n v="0"/>
    <n v="140"/>
    <n v="360"/>
    <x v="0"/>
    <x v="1"/>
    <x v="0"/>
    <n v="6000"/>
    <s v="High"/>
    <x v="0"/>
    <s v="Low Risk"/>
  </r>
  <r>
    <s v="LP002500"/>
    <s v="Male"/>
    <s v="Yes"/>
    <s v="3+"/>
    <x v="1"/>
    <s v="No"/>
    <n v="2947"/>
    <n v="1664"/>
    <n v="70"/>
    <n v="180"/>
    <x v="1"/>
    <x v="0"/>
    <x v="1"/>
    <n v="4611"/>
    <s v="Medium"/>
    <x v="1"/>
    <s v="High Risk"/>
  </r>
  <r>
    <s v="LP002501"/>
    <s v="Male"/>
    <s v="Yes"/>
    <n v="0"/>
    <x v="0"/>
    <s v="No"/>
    <n v="16692"/>
    <n v="0"/>
    <n v="110"/>
    <n v="360"/>
    <x v="0"/>
    <x v="2"/>
    <x v="0"/>
    <n v="16692"/>
    <s v="Very High"/>
    <x v="0"/>
    <s v="Low Risk"/>
  </r>
  <r>
    <s v="LP002502"/>
    <s v="Female"/>
    <s v="Yes"/>
    <n v="2"/>
    <x v="1"/>
    <m/>
    <n v="210"/>
    <n v="2917"/>
    <n v="98"/>
    <n v="360"/>
    <x v="0"/>
    <x v="2"/>
    <x v="0"/>
    <n v="3127"/>
    <s v="Medium"/>
    <x v="0"/>
    <s v="Low Risk"/>
  </r>
  <r>
    <s v="LP002505"/>
    <s v="Male"/>
    <s v="Yes"/>
    <n v="0"/>
    <x v="0"/>
    <s v="No"/>
    <n v="4333"/>
    <n v="2451"/>
    <n v="110"/>
    <n v="360"/>
    <x v="0"/>
    <x v="0"/>
    <x v="1"/>
    <n v="6784"/>
    <s v="High"/>
    <x v="1"/>
    <s v="Low Risk"/>
  </r>
  <r>
    <s v="LP002515"/>
    <s v="Male"/>
    <s v="Yes"/>
    <n v="1"/>
    <x v="0"/>
    <s v="Yes"/>
    <n v="3450"/>
    <n v="2079"/>
    <n v="162"/>
    <n v="360"/>
    <x v="0"/>
    <x v="2"/>
    <x v="0"/>
    <n v="5529"/>
    <s v="High"/>
    <x v="0"/>
    <s v="Low Risk"/>
  </r>
  <r>
    <s v="LP002517"/>
    <s v="Male"/>
    <s v="Yes"/>
    <n v="1"/>
    <x v="1"/>
    <s v="No"/>
    <n v="2653"/>
    <n v="1500"/>
    <n v="113"/>
    <n v="180"/>
    <x v="1"/>
    <x v="1"/>
    <x v="1"/>
    <n v="4153"/>
    <s v="Medium"/>
    <x v="1"/>
    <s v="High Risk"/>
  </r>
  <r>
    <s v="LP002519"/>
    <s v="Male"/>
    <s v="Yes"/>
    <s v="3+"/>
    <x v="0"/>
    <s v="No"/>
    <n v="4691"/>
    <n v="0"/>
    <n v="100"/>
    <n v="360"/>
    <x v="0"/>
    <x v="2"/>
    <x v="0"/>
    <n v="4691"/>
    <s v="Medium"/>
    <x v="0"/>
    <s v="Low Risk"/>
  </r>
  <r>
    <s v="LP002522"/>
    <s v="Female"/>
    <s v="No"/>
    <n v="0"/>
    <x v="0"/>
    <s v="Yes"/>
    <n v="2500"/>
    <n v="0"/>
    <n v="93"/>
    <n v="360"/>
    <x v="0"/>
    <x v="0"/>
    <x v="0"/>
    <n v="2500"/>
    <s v="Medium"/>
    <x v="0"/>
    <s v="Low Risk"/>
  </r>
  <r>
    <s v="LP002524"/>
    <s v="Male"/>
    <s v="No"/>
    <n v="2"/>
    <x v="0"/>
    <s v="No"/>
    <n v="5532"/>
    <n v="4648"/>
    <n v="162"/>
    <n v="360"/>
    <x v="0"/>
    <x v="1"/>
    <x v="0"/>
    <n v="10180"/>
    <s v="Very High"/>
    <x v="0"/>
    <s v="Low Risk"/>
  </r>
  <r>
    <s v="LP002527"/>
    <s v="Male"/>
    <s v="Yes"/>
    <n v="2"/>
    <x v="0"/>
    <s v="Yes"/>
    <n v="16525"/>
    <n v="1014"/>
    <n v="150"/>
    <n v="360"/>
    <x v="0"/>
    <x v="1"/>
    <x v="0"/>
    <n v="17539"/>
    <s v="Very High"/>
    <x v="0"/>
    <s v="Low Risk"/>
  </r>
  <r>
    <s v="LP002529"/>
    <s v="Male"/>
    <s v="Yes"/>
    <n v="2"/>
    <x v="0"/>
    <s v="No"/>
    <n v="6700"/>
    <n v="1750"/>
    <n v="230"/>
    <n v="300"/>
    <x v="0"/>
    <x v="2"/>
    <x v="0"/>
    <n v="8450"/>
    <s v="High"/>
    <x v="0"/>
    <s v="Low Risk"/>
  </r>
  <r>
    <s v="LP002530"/>
    <s v="Male"/>
    <s v="Yes"/>
    <n v="2"/>
    <x v="0"/>
    <s v="No"/>
    <n v="2873"/>
    <n v="1872"/>
    <n v="132"/>
    <n v="360"/>
    <x v="1"/>
    <x v="2"/>
    <x v="1"/>
    <n v="4745"/>
    <s v="Medium"/>
    <x v="1"/>
    <s v="High Risk"/>
  </r>
  <r>
    <s v="LP002531"/>
    <s v="Male"/>
    <s v="Yes"/>
    <n v="1"/>
    <x v="0"/>
    <s v="Yes"/>
    <n v="16667"/>
    <n v="2250"/>
    <n v="86"/>
    <n v="360"/>
    <x v="0"/>
    <x v="2"/>
    <x v="0"/>
    <n v="18917"/>
    <s v="Very High"/>
    <x v="0"/>
    <s v="Low Risk"/>
  </r>
  <r>
    <s v="LP002533"/>
    <s v="Male"/>
    <s v="Yes"/>
    <n v="2"/>
    <x v="0"/>
    <s v="No"/>
    <n v="2947"/>
    <n v="1603"/>
    <n v="128"/>
    <n v="360"/>
    <x v="0"/>
    <x v="0"/>
    <x v="1"/>
    <n v="4550"/>
    <s v="Medium"/>
    <x v="1"/>
    <s v="Low Risk"/>
  </r>
  <r>
    <s v="LP002534"/>
    <s v="Female"/>
    <s v="No"/>
    <n v="0"/>
    <x v="1"/>
    <s v="No"/>
    <n v="4350"/>
    <n v="0"/>
    <n v="154"/>
    <n v="360"/>
    <x v="0"/>
    <x v="1"/>
    <x v="0"/>
    <n v="4350"/>
    <s v="Medium"/>
    <x v="0"/>
    <s v="Low Risk"/>
  </r>
  <r>
    <s v="LP002536"/>
    <s v="Male"/>
    <s v="Yes"/>
    <s v="3+"/>
    <x v="1"/>
    <s v="No"/>
    <n v="3095"/>
    <n v="0"/>
    <n v="113"/>
    <n v="360"/>
    <x v="0"/>
    <x v="1"/>
    <x v="0"/>
    <n v="3095"/>
    <s v="Medium"/>
    <x v="0"/>
    <s v="Low Risk"/>
  </r>
  <r>
    <s v="LP002537"/>
    <s v="Male"/>
    <s v="Yes"/>
    <n v="0"/>
    <x v="0"/>
    <s v="No"/>
    <n v="2083"/>
    <n v="3150"/>
    <n v="128"/>
    <n v="360"/>
    <x v="0"/>
    <x v="2"/>
    <x v="0"/>
    <n v="5233"/>
    <s v="High"/>
    <x v="0"/>
    <s v="Low Risk"/>
  </r>
  <r>
    <s v="LP002541"/>
    <s v="Male"/>
    <s v="Yes"/>
    <n v="0"/>
    <x v="0"/>
    <s v="No"/>
    <n v="10833"/>
    <n v="0"/>
    <n v="234"/>
    <n v="360"/>
    <x v="0"/>
    <x v="2"/>
    <x v="0"/>
    <n v="10833"/>
    <s v="Very High"/>
    <x v="0"/>
    <s v="Low Risk"/>
  </r>
  <r>
    <s v="LP002543"/>
    <s v="Male"/>
    <s v="Yes"/>
    <n v="2"/>
    <x v="0"/>
    <s v="No"/>
    <n v="8333"/>
    <n v="0"/>
    <n v="246"/>
    <n v="360"/>
    <x v="0"/>
    <x v="2"/>
    <x v="0"/>
    <n v="8333"/>
    <s v="High"/>
    <x v="0"/>
    <s v="Low Risk"/>
  </r>
  <r>
    <s v="LP002544"/>
    <s v="Male"/>
    <s v="Yes"/>
    <n v="1"/>
    <x v="1"/>
    <s v="No"/>
    <n v="1958"/>
    <n v="2436"/>
    <n v="131"/>
    <n v="360"/>
    <x v="0"/>
    <x v="1"/>
    <x v="0"/>
    <n v="4394"/>
    <s v="Medium"/>
    <x v="0"/>
    <s v="Low Risk"/>
  </r>
  <r>
    <s v="LP002545"/>
    <s v="Male"/>
    <s v="No"/>
    <n v="2"/>
    <x v="0"/>
    <s v="No"/>
    <n v="3547"/>
    <n v="0"/>
    <n v="80"/>
    <n v="360"/>
    <x v="1"/>
    <x v="1"/>
    <x v="1"/>
    <n v="3547"/>
    <s v="Medium"/>
    <x v="1"/>
    <s v="High Risk"/>
  </r>
  <r>
    <s v="LP002547"/>
    <s v="Male"/>
    <s v="Yes"/>
    <n v="1"/>
    <x v="0"/>
    <s v="No"/>
    <n v="18333"/>
    <n v="0"/>
    <n v="500"/>
    <n v="360"/>
    <x v="0"/>
    <x v="0"/>
    <x v="1"/>
    <n v="18333"/>
    <s v="Very High"/>
    <x v="1"/>
    <s v="Low Risk"/>
  </r>
  <r>
    <s v="LP002555"/>
    <s v="Male"/>
    <s v="Yes"/>
    <n v="2"/>
    <x v="0"/>
    <s v="Yes"/>
    <n v="4583"/>
    <n v="2083"/>
    <n v="160"/>
    <n v="360"/>
    <x v="0"/>
    <x v="2"/>
    <x v="0"/>
    <n v="6666"/>
    <s v="High"/>
    <x v="0"/>
    <s v="Low Risk"/>
  </r>
  <r>
    <s v="LP002556"/>
    <s v="Male"/>
    <s v="No"/>
    <n v="0"/>
    <x v="0"/>
    <s v="No"/>
    <n v="2435"/>
    <n v="0"/>
    <n v="75"/>
    <n v="360"/>
    <x v="0"/>
    <x v="0"/>
    <x v="1"/>
    <n v="2435"/>
    <s v="Low"/>
    <x v="1"/>
    <s v="Low Risk"/>
  </r>
  <r>
    <s v="LP002560"/>
    <s v="Male"/>
    <s v="No"/>
    <n v="0"/>
    <x v="1"/>
    <s v="No"/>
    <n v="2699"/>
    <n v="2785"/>
    <n v="96"/>
    <n v="360"/>
    <x v="0"/>
    <x v="2"/>
    <x v="0"/>
    <n v="5484"/>
    <s v="High"/>
    <x v="0"/>
    <s v="Low Risk"/>
  </r>
  <r>
    <s v="LP002562"/>
    <s v="Male"/>
    <s v="Yes"/>
    <n v="1"/>
    <x v="1"/>
    <s v="No"/>
    <n v="5333"/>
    <n v="1131"/>
    <n v="186"/>
    <n v="360"/>
    <x v="0"/>
    <x v="0"/>
    <x v="0"/>
    <n v="6464"/>
    <s v="High"/>
    <x v="0"/>
    <s v="Low Risk"/>
  </r>
  <r>
    <s v="LP002571"/>
    <s v="Male"/>
    <s v="No"/>
    <n v="0"/>
    <x v="1"/>
    <s v="No"/>
    <n v="3691"/>
    <n v="0"/>
    <n v="110"/>
    <n v="360"/>
    <x v="0"/>
    <x v="1"/>
    <x v="0"/>
    <n v="3691"/>
    <s v="Medium"/>
    <x v="0"/>
    <s v="Low Risk"/>
  </r>
  <r>
    <s v="LP002582"/>
    <s v="Female"/>
    <s v="No"/>
    <n v="0"/>
    <x v="1"/>
    <s v="Yes"/>
    <n v="17263"/>
    <n v="0"/>
    <n v="225"/>
    <n v="360"/>
    <x v="0"/>
    <x v="2"/>
    <x v="0"/>
    <n v="17263"/>
    <s v="Very High"/>
    <x v="0"/>
    <s v="Low Risk"/>
  </r>
  <r>
    <s v="LP002585"/>
    <s v="Male"/>
    <s v="Yes"/>
    <n v="0"/>
    <x v="0"/>
    <s v="No"/>
    <n v="3597"/>
    <n v="2157"/>
    <n v="119"/>
    <n v="360"/>
    <x v="1"/>
    <x v="1"/>
    <x v="1"/>
    <n v="5754"/>
    <s v="High"/>
    <x v="1"/>
    <s v="High Risk"/>
  </r>
  <r>
    <s v="LP002586"/>
    <s v="Female"/>
    <s v="Yes"/>
    <n v="1"/>
    <x v="0"/>
    <s v="No"/>
    <n v="3326"/>
    <n v="913"/>
    <n v="105"/>
    <n v="84"/>
    <x v="0"/>
    <x v="2"/>
    <x v="0"/>
    <n v="4239"/>
    <s v="Medium"/>
    <x v="0"/>
    <s v="Low Risk"/>
  </r>
  <r>
    <s v="LP002587"/>
    <s v="Male"/>
    <s v="Yes"/>
    <n v="0"/>
    <x v="1"/>
    <s v="No"/>
    <n v="2600"/>
    <n v="1700"/>
    <n v="107"/>
    <n v="360"/>
    <x v="0"/>
    <x v="1"/>
    <x v="0"/>
    <n v="4300"/>
    <s v="Medium"/>
    <x v="0"/>
    <s v="Low Risk"/>
  </r>
  <r>
    <s v="LP002588"/>
    <s v="Male"/>
    <s v="Yes"/>
    <n v="0"/>
    <x v="0"/>
    <s v="No"/>
    <n v="4625"/>
    <n v="2857"/>
    <n v="111"/>
    <n v="12"/>
    <x v="0"/>
    <x v="0"/>
    <x v="0"/>
    <n v="7482"/>
    <s v="High"/>
    <x v="0"/>
    <s v="Low Risk"/>
  </r>
  <r>
    <s v="LP002600"/>
    <s v="Male"/>
    <s v="Yes"/>
    <n v="1"/>
    <x v="0"/>
    <s v="Yes"/>
    <n v="2895"/>
    <n v="0"/>
    <n v="95"/>
    <n v="360"/>
    <x v="0"/>
    <x v="2"/>
    <x v="0"/>
    <n v="2895"/>
    <s v="Medium"/>
    <x v="0"/>
    <s v="Low Risk"/>
  </r>
  <r>
    <s v="LP002602"/>
    <s v="Male"/>
    <s v="No"/>
    <n v="0"/>
    <x v="0"/>
    <s v="No"/>
    <n v="6283"/>
    <n v="4416"/>
    <n v="209"/>
    <n v="360"/>
    <x v="1"/>
    <x v="1"/>
    <x v="1"/>
    <n v="10699"/>
    <s v="Very High"/>
    <x v="1"/>
    <s v="High Risk"/>
  </r>
  <r>
    <s v="LP002603"/>
    <s v="Female"/>
    <s v="No"/>
    <n v="0"/>
    <x v="0"/>
    <s v="No"/>
    <n v="645"/>
    <n v="3683"/>
    <n v="113"/>
    <n v="480"/>
    <x v="0"/>
    <x v="1"/>
    <x v="0"/>
    <n v="4328"/>
    <s v="Medium"/>
    <x v="0"/>
    <s v="Low Risk"/>
  </r>
  <r>
    <s v="LP002606"/>
    <s v="Female"/>
    <s v="No"/>
    <n v="0"/>
    <x v="0"/>
    <s v="No"/>
    <n v="3159"/>
    <n v="0"/>
    <n v="100"/>
    <n v="360"/>
    <x v="0"/>
    <x v="2"/>
    <x v="0"/>
    <n v="3159"/>
    <s v="Medium"/>
    <x v="0"/>
    <s v="Low Risk"/>
  </r>
  <r>
    <s v="LP002615"/>
    <s v="Male"/>
    <s v="Yes"/>
    <n v="2"/>
    <x v="0"/>
    <s v="No"/>
    <n v="4865"/>
    <n v="5624"/>
    <n v="208"/>
    <n v="360"/>
    <x v="0"/>
    <x v="2"/>
    <x v="0"/>
    <n v="10489"/>
    <s v="Very High"/>
    <x v="0"/>
    <s v="Low Risk"/>
  </r>
  <r>
    <s v="LP002618"/>
    <s v="Male"/>
    <s v="Yes"/>
    <n v="1"/>
    <x v="1"/>
    <s v="No"/>
    <n v="4050"/>
    <n v="5302"/>
    <n v="138"/>
    <n v="360"/>
    <x v="0"/>
    <x v="1"/>
    <x v="1"/>
    <n v="9352"/>
    <s v="High"/>
    <x v="1"/>
    <s v="Low Risk"/>
  </r>
  <r>
    <s v="LP002619"/>
    <s v="Male"/>
    <s v="Yes"/>
    <n v="0"/>
    <x v="1"/>
    <s v="No"/>
    <n v="3814"/>
    <n v="1483"/>
    <n v="124"/>
    <n v="300"/>
    <x v="0"/>
    <x v="2"/>
    <x v="0"/>
    <n v="5297"/>
    <s v="High"/>
    <x v="0"/>
    <s v="Low Risk"/>
  </r>
  <r>
    <s v="LP002622"/>
    <s v="Male"/>
    <s v="Yes"/>
    <n v="2"/>
    <x v="0"/>
    <s v="No"/>
    <n v="3510"/>
    <n v="4416"/>
    <n v="243"/>
    <n v="360"/>
    <x v="0"/>
    <x v="1"/>
    <x v="0"/>
    <n v="7926"/>
    <s v="High"/>
    <x v="0"/>
    <s v="Low Risk"/>
  </r>
  <r>
    <s v="LP002624"/>
    <s v="Male"/>
    <s v="Yes"/>
    <n v="0"/>
    <x v="0"/>
    <s v="No"/>
    <n v="20833"/>
    <n v="6667"/>
    <n v="480"/>
    <n v="360"/>
    <x v="0"/>
    <x v="0"/>
    <x v="0"/>
    <n v="27500"/>
    <s v="Very High"/>
    <x v="0"/>
    <s v="Low Risk"/>
  </r>
  <r>
    <s v="LP002625"/>
    <s v="Male"/>
    <s v="No"/>
    <n v="0"/>
    <x v="0"/>
    <s v="No"/>
    <n v="3583"/>
    <n v="0"/>
    <n v="96"/>
    <n v="360"/>
    <x v="0"/>
    <x v="0"/>
    <x v="1"/>
    <n v="3583"/>
    <s v="Medium"/>
    <x v="1"/>
    <s v="Low Risk"/>
  </r>
  <r>
    <s v="LP002626"/>
    <s v="Male"/>
    <s v="Yes"/>
    <n v="0"/>
    <x v="0"/>
    <s v="Yes"/>
    <n v="2479"/>
    <n v="3013"/>
    <n v="188"/>
    <n v="360"/>
    <x v="0"/>
    <x v="0"/>
    <x v="0"/>
    <n v="5492"/>
    <s v="High"/>
    <x v="0"/>
    <s v="Low Risk"/>
  </r>
  <r>
    <s v="LP002634"/>
    <s v="Female"/>
    <s v="No"/>
    <n v="1"/>
    <x v="0"/>
    <s v="No"/>
    <n v="13262"/>
    <n v="0"/>
    <n v="40"/>
    <n v="360"/>
    <x v="0"/>
    <x v="0"/>
    <x v="0"/>
    <n v="13262"/>
    <s v="Very High"/>
    <x v="0"/>
    <s v="Low Risk"/>
  </r>
  <r>
    <s v="LP002637"/>
    <s v="Male"/>
    <s v="No"/>
    <n v="0"/>
    <x v="1"/>
    <s v="No"/>
    <n v="3598"/>
    <n v="1287"/>
    <n v="100"/>
    <n v="360"/>
    <x v="0"/>
    <x v="1"/>
    <x v="1"/>
    <n v="4885"/>
    <s v="Medium"/>
    <x v="1"/>
    <s v="Low Risk"/>
  </r>
  <r>
    <s v="LP002640"/>
    <s v="Male"/>
    <s v="Yes"/>
    <n v="1"/>
    <x v="0"/>
    <s v="No"/>
    <n v="6065"/>
    <n v="2004"/>
    <n v="250"/>
    <n v="360"/>
    <x v="0"/>
    <x v="2"/>
    <x v="0"/>
    <n v="8069"/>
    <s v="High"/>
    <x v="0"/>
    <s v="Low Risk"/>
  </r>
  <r>
    <s v="LP002643"/>
    <s v="Male"/>
    <s v="Yes"/>
    <n v="2"/>
    <x v="0"/>
    <s v="No"/>
    <n v="3283"/>
    <n v="2035"/>
    <n v="148"/>
    <n v="360"/>
    <x v="0"/>
    <x v="0"/>
    <x v="0"/>
    <n v="5318"/>
    <s v="High"/>
    <x v="0"/>
    <s v="Low Risk"/>
  </r>
  <r>
    <s v="LP002648"/>
    <s v="Male"/>
    <s v="Yes"/>
    <n v="0"/>
    <x v="0"/>
    <s v="No"/>
    <n v="2130"/>
    <n v="6666"/>
    <n v="70"/>
    <n v="180"/>
    <x v="0"/>
    <x v="2"/>
    <x v="1"/>
    <n v="8796"/>
    <s v="High"/>
    <x v="1"/>
    <s v="Low Risk"/>
  </r>
  <r>
    <s v="LP002652"/>
    <s v="Male"/>
    <s v="No"/>
    <n v="0"/>
    <x v="0"/>
    <s v="No"/>
    <n v="5815"/>
    <n v="3666"/>
    <n v="311"/>
    <n v="360"/>
    <x v="0"/>
    <x v="1"/>
    <x v="1"/>
    <n v="9481"/>
    <s v="High"/>
    <x v="1"/>
    <s v="Low Risk"/>
  </r>
  <r>
    <s v="LP002659"/>
    <s v="Male"/>
    <s v="Yes"/>
    <s v="3+"/>
    <x v="0"/>
    <s v="No"/>
    <n v="3466"/>
    <n v="3428"/>
    <n v="150"/>
    <n v="360"/>
    <x v="0"/>
    <x v="1"/>
    <x v="0"/>
    <n v="6894"/>
    <s v="High"/>
    <x v="0"/>
    <s v="Low Risk"/>
  </r>
  <r>
    <s v="LP002670"/>
    <s v="Female"/>
    <s v="Yes"/>
    <n v="2"/>
    <x v="0"/>
    <s v="No"/>
    <n v="2031"/>
    <n v="1632"/>
    <n v="113"/>
    <n v="480"/>
    <x v="0"/>
    <x v="2"/>
    <x v="0"/>
    <n v="3663"/>
    <s v="Medium"/>
    <x v="0"/>
    <s v="Low Risk"/>
  </r>
  <r>
    <s v="LP002682"/>
    <s v="Male"/>
    <s v="Yes"/>
    <n v="0"/>
    <x v="1"/>
    <s v="No"/>
    <n v="3074"/>
    <n v="1800"/>
    <n v="123"/>
    <n v="360"/>
    <x v="1"/>
    <x v="2"/>
    <x v="1"/>
    <n v="4874"/>
    <s v="Medium"/>
    <x v="1"/>
    <s v="High Risk"/>
  </r>
  <r>
    <s v="LP002683"/>
    <s v="Male"/>
    <s v="No"/>
    <n v="0"/>
    <x v="0"/>
    <s v="No"/>
    <n v="4683"/>
    <n v="1915"/>
    <n v="185"/>
    <n v="360"/>
    <x v="0"/>
    <x v="2"/>
    <x v="1"/>
    <n v="6598"/>
    <s v="High"/>
    <x v="1"/>
    <s v="Low Risk"/>
  </r>
  <r>
    <s v="LP002684"/>
    <s v="Female"/>
    <s v="No"/>
    <n v="0"/>
    <x v="1"/>
    <s v="No"/>
    <n v="3400"/>
    <n v="0"/>
    <n v="95"/>
    <n v="360"/>
    <x v="0"/>
    <x v="1"/>
    <x v="1"/>
    <n v="3400"/>
    <s v="Medium"/>
    <x v="1"/>
    <s v="Low Risk"/>
  </r>
  <r>
    <s v="LP002689"/>
    <s v="Male"/>
    <s v="Yes"/>
    <n v="2"/>
    <x v="1"/>
    <s v="No"/>
    <n v="2192"/>
    <n v="1742"/>
    <n v="45"/>
    <n v="360"/>
    <x v="0"/>
    <x v="2"/>
    <x v="0"/>
    <n v="3934"/>
    <s v="Medium"/>
    <x v="0"/>
    <s v="Low Risk"/>
  </r>
  <r>
    <s v="LP002690"/>
    <s v="Male"/>
    <s v="No"/>
    <n v="0"/>
    <x v="0"/>
    <s v="No"/>
    <n v="2500"/>
    <n v="0"/>
    <n v="55"/>
    <n v="360"/>
    <x v="0"/>
    <x v="2"/>
    <x v="0"/>
    <n v="2500"/>
    <s v="Medium"/>
    <x v="0"/>
    <s v="Low Risk"/>
  </r>
  <r>
    <s v="LP002692"/>
    <s v="Male"/>
    <s v="Yes"/>
    <s v="3+"/>
    <x v="0"/>
    <s v="Yes"/>
    <n v="5677"/>
    <n v="1424"/>
    <n v="100"/>
    <n v="360"/>
    <x v="0"/>
    <x v="1"/>
    <x v="0"/>
    <n v="7101"/>
    <s v="High"/>
    <x v="0"/>
    <s v="Low Risk"/>
  </r>
  <r>
    <s v="LP002693"/>
    <s v="Male"/>
    <s v="Yes"/>
    <n v="2"/>
    <x v="0"/>
    <s v="Yes"/>
    <n v="7948"/>
    <n v="7166"/>
    <n v="480"/>
    <n v="360"/>
    <x v="0"/>
    <x v="1"/>
    <x v="0"/>
    <n v="15114"/>
    <s v="Very High"/>
    <x v="0"/>
    <s v="Low Risk"/>
  </r>
  <r>
    <s v="LP002697"/>
    <s v="Male"/>
    <s v="No"/>
    <n v="0"/>
    <x v="0"/>
    <s v="No"/>
    <n v="4680"/>
    <n v="2087"/>
    <n v="128"/>
    <n v="360"/>
    <x v="0"/>
    <x v="2"/>
    <x v="1"/>
    <n v="6767"/>
    <s v="High"/>
    <x v="1"/>
    <s v="Low Risk"/>
  </r>
  <r>
    <s v="LP002699"/>
    <s v="Male"/>
    <s v="Yes"/>
    <n v="2"/>
    <x v="0"/>
    <s v="Yes"/>
    <n v="17500"/>
    <n v="0"/>
    <n v="400"/>
    <n v="360"/>
    <x v="0"/>
    <x v="1"/>
    <x v="0"/>
    <n v="17500"/>
    <s v="Very High"/>
    <x v="0"/>
    <s v="Low Risk"/>
  </r>
  <r>
    <s v="LP002705"/>
    <s v="Male"/>
    <s v="Yes"/>
    <n v="0"/>
    <x v="0"/>
    <s v="No"/>
    <n v="3775"/>
    <n v="0"/>
    <n v="110"/>
    <n v="360"/>
    <x v="0"/>
    <x v="2"/>
    <x v="0"/>
    <n v="3775"/>
    <s v="Medium"/>
    <x v="0"/>
    <s v="Low Risk"/>
  </r>
  <r>
    <s v="LP002706"/>
    <s v="Male"/>
    <s v="Yes"/>
    <n v="1"/>
    <x v="1"/>
    <s v="No"/>
    <n v="5285"/>
    <n v="1430"/>
    <n v="161"/>
    <n v="360"/>
    <x v="1"/>
    <x v="2"/>
    <x v="0"/>
    <n v="6715"/>
    <s v="High"/>
    <x v="0"/>
    <s v="High Risk"/>
  </r>
  <r>
    <s v="LP002714"/>
    <s v="Male"/>
    <s v="No"/>
    <n v="1"/>
    <x v="1"/>
    <s v="No"/>
    <n v="2679"/>
    <n v="1302"/>
    <n v="94"/>
    <n v="360"/>
    <x v="0"/>
    <x v="2"/>
    <x v="0"/>
    <n v="3981"/>
    <s v="Medium"/>
    <x v="0"/>
    <s v="Low Risk"/>
  </r>
  <r>
    <s v="LP002716"/>
    <s v="Male"/>
    <s v="No"/>
    <n v="0"/>
    <x v="1"/>
    <s v="No"/>
    <n v="6783"/>
    <n v="0"/>
    <n v="130"/>
    <n v="360"/>
    <x v="0"/>
    <x v="2"/>
    <x v="0"/>
    <n v="6783"/>
    <s v="High"/>
    <x v="0"/>
    <s v="Low Risk"/>
  </r>
  <r>
    <s v="LP002717"/>
    <s v="Male"/>
    <s v="Yes"/>
    <n v="0"/>
    <x v="0"/>
    <s v="No"/>
    <n v="1025"/>
    <n v="5500"/>
    <n v="216"/>
    <n v="360"/>
    <x v="0"/>
    <x v="1"/>
    <x v="0"/>
    <n v="6525"/>
    <s v="High"/>
    <x v="0"/>
    <s v="Low Risk"/>
  </r>
  <r>
    <s v="LP002720"/>
    <s v="Male"/>
    <s v="Yes"/>
    <s v="3+"/>
    <x v="0"/>
    <s v="No"/>
    <n v="4281"/>
    <n v="0"/>
    <n v="100"/>
    <n v="360"/>
    <x v="0"/>
    <x v="0"/>
    <x v="0"/>
    <n v="4281"/>
    <s v="Medium"/>
    <x v="0"/>
    <s v="Low Risk"/>
  </r>
  <r>
    <s v="LP002723"/>
    <s v="Male"/>
    <s v="No"/>
    <n v="2"/>
    <x v="0"/>
    <s v="No"/>
    <n v="3588"/>
    <n v="0"/>
    <n v="110"/>
    <n v="360"/>
    <x v="1"/>
    <x v="1"/>
    <x v="1"/>
    <n v="3588"/>
    <s v="Medium"/>
    <x v="1"/>
    <s v="High Risk"/>
  </r>
  <r>
    <s v="LP002729"/>
    <s v="Male"/>
    <s v="No"/>
    <n v="1"/>
    <x v="0"/>
    <s v="No"/>
    <n v="11250"/>
    <n v="0"/>
    <n v="196"/>
    <n v="360"/>
    <x v="0"/>
    <x v="2"/>
    <x v="1"/>
    <n v="11250"/>
    <s v="Very High"/>
    <x v="1"/>
    <s v="Low Risk"/>
  </r>
  <r>
    <s v="LP002731"/>
    <s v="Female"/>
    <s v="No"/>
    <n v="0"/>
    <x v="1"/>
    <s v="Yes"/>
    <n v="18165"/>
    <n v="0"/>
    <n v="125"/>
    <n v="360"/>
    <x v="0"/>
    <x v="0"/>
    <x v="0"/>
    <n v="18165"/>
    <s v="Very High"/>
    <x v="0"/>
    <s v="Low Risk"/>
  </r>
  <r>
    <s v="LP002732"/>
    <s v="Male"/>
    <s v="No"/>
    <n v="0"/>
    <x v="1"/>
    <m/>
    <n v="2550"/>
    <n v="2042"/>
    <n v="126"/>
    <n v="360"/>
    <x v="0"/>
    <x v="1"/>
    <x v="0"/>
    <n v="4592"/>
    <s v="Medium"/>
    <x v="0"/>
    <s v="Low Risk"/>
  </r>
  <r>
    <s v="LP002734"/>
    <s v="Male"/>
    <s v="Yes"/>
    <n v="0"/>
    <x v="0"/>
    <s v="No"/>
    <n v="6133"/>
    <n v="3906"/>
    <n v="324"/>
    <n v="360"/>
    <x v="0"/>
    <x v="0"/>
    <x v="0"/>
    <n v="10039"/>
    <s v="Very High"/>
    <x v="0"/>
    <s v="Low Risk"/>
  </r>
  <r>
    <s v="LP002738"/>
    <s v="Male"/>
    <s v="No"/>
    <n v="2"/>
    <x v="0"/>
    <s v="No"/>
    <n v="3617"/>
    <n v="0"/>
    <n v="107"/>
    <n v="360"/>
    <x v="0"/>
    <x v="2"/>
    <x v="0"/>
    <n v="3617"/>
    <s v="Medium"/>
    <x v="0"/>
    <s v="Low Risk"/>
  </r>
  <r>
    <s v="LP002739"/>
    <s v="Male"/>
    <s v="Yes"/>
    <n v="0"/>
    <x v="1"/>
    <s v="No"/>
    <n v="2917"/>
    <n v="536"/>
    <n v="66"/>
    <n v="360"/>
    <x v="0"/>
    <x v="1"/>
    <x v="1"/>
    <n v="3453"/>
    <s v="Medium"/>
    <x v="1"/>
    <s v="Low Risk"/>
  </r>
  <r>
    <s v="LP002740"/>
    <s v="Male"/>
    <s v="Yes"/>
    <s v="3+"/>
    <x v="0"/>
    <s v="No"/>
    <n v="6417"/>
    <n v="0"/>
    <n v="157"/>
    <n v="180"/>
    <x v="0"/>
    <x v="1"/>
    <x v="0"/>
    <n v="6417"/>
    <s v="High"/>
    <x v="0"/>
    <s v="Low Risk"/>
  </r>
  <r>
    <s v="LP002741"/>
    <s v="Female"/>
    <s v="Yes"/>
    <n v="1"/>
    <x v="0"/>
    <s v="No"/>
    <n v="4608"/>
    <n v="2845"/>
    <n v="140"/>
    <n v="180"/>
    <x v="0"/>
    <x v="2"/>
    <x v="0"/>
    <n v="7453"/>
    <s v="High"/>
    <x v="0"/>
    <s v="Low Risk"/>
  </r>
  <r>
    <s v="LP002743"/>
    <s v="Female"/>
    <s v="No"/>
    <n v="0"/>
    <x v="0"/>
    <s v="No"/>
    <n v="2138"/>
    <n v="0"/>
    <n v="99"/>
    <n v="360"/>
    <x v="1"/>
    <x v="2"/>
    <x v="1"/>
    <n v="2138"/>
    <s v="Low"/>
    <x v="1"/>
    <s v="High Risk"/>
  </r>
  <r>
    <s v="LP002753"/>
    <s v="Female"/>
    <s v="No"/>
    <n v="1"/>
    <x v="0"/>
    <m/>
    <n v="3652"/>
    <n v="0"/>
    <n v="95"/>
    <n v="360"/>
    <x v="0"/>
    <x v="2"/>
    <x v="0"/>
    <n v="3652"/>
    <s v="Medium"/>
    <x v="0"/>
    <s v="Low Risk"/>
  </r>
  <r>
    <s v="LP002755"/>
    <s v="Male"/>
    <s v="Yes"/>
    <n v="1"/>
    <x v="1"/>
    <s v="No"/>
    <n v="2239"/>
    <n v="2524"/>
    <n v="128"/>
    <n v="360"/>
    <x v="0"/>
    <x v="0"/>
    <x v="0"/>
    <n v="4763"/>
    <s v="Medium"/>
    <x v="0"/>
    <s v="Low Risk"/>
  </r>
  <r>
    <s v="LP002757"/>
    <s v="Female"/>
    <s v="Yes"/>
    <n v="0"/>
    <x v="1"/>
    <s v="No"/>
    <n v="3017"/>
    <n v="663"/>
    <n v="102"/>
    <n v="360"/>
    <x v="0"/>
    <x v="2"/>
    <x v="0"/>
    <n v="3680"/>
    <s v="Medium"/>
    <x v="0"/>
    <s v="Low Risk"/>
  </r>
  <r>
    <s v="LP002767"/>
    <s v="Male"/>
    <s v="Yes"/>
    <n v="0"/>
    <x v="0"/>
    <s v="No"/>
    <n v="2768"/>
    <n v="1950"/>
    <n v="155"/>
    <n v="360"/>
    <x v="0"/>
    <x v="1"/>
    <x v="0"/>
    <n v="4718"/>
    <s v="Medium"/>
    <x v="0"/>
    <s v="Low Risk"/>
  </r>
  <r>
    <s v="LP002768"/>
    <s v="Male"/>
    <s v="No"/>
    <n v="0"/>
    <x v="1"/>
    <s v="No"/>
    <n v="3358"/>
    <n v="0"/>
    <n v="80"/>
    <n v="36"/>
    <x v="0"/>
    <x v="2"/>
    <x v="1"/>
    <n v="3358"/>
    <s v="Medium"/>
    <x v="1"/>
    <s v="Low Risk"/>
  </r>
  <r>
    <s v="LP002772"/>
    <s v="Male"/>
    <s v="No"/>
    <n v="0"/>
    <x v="0"/>
    <s v="No"/>
    <n v="2526"/>
    <n v="1783"/>
    <n v="145"/>
    <n v="360"/>
    <x v="0"/>
    <x v="1"/>
    <x v="0"/>
    <n v="4309"/>
    <s v="Medium"/>
    <x v="0"/>
    <s v="Low Risk"/>
  </r>
  <r>
    <s v="LP002776"/>
    <s v="Female"/>
    <s v="No"/>
    <n v="0"/>
    <x v="0"/>
    <s v="No"/>
    <n v="5000"/>
    <n v="0"/>
    <n v="103"/>
    <n v="360"/>
    <x v="1"/>
    <x v="2"/>
    <x v="1"/>
    <n v="5000"/>
    <s v="High"/>
    <x v="1"/>
    <s v="High Risk"/>
  </r>
  <r>
    <s v="LP002777"/>
    <s v="Male"/>
    <s v="Yes"/>
    <n v="0"/>
    <x v="0"/>
    <s v="No"/>
    <n v="2785"/>
    <n v="2016"/>
    <n v="110"/>
    <n v="360"/>
    <x v="0"/>
    <x v="1"/>
    <x v="0"/>
    <n v="4801"/>
    <s v="Medium"/>
    <x v="0"/>
    <s v="Low Risk"/>
  </r>
  <r>
    <s v="LP002778"/>
    <s v="Male"/>
    <s v="Yes"/>
    <n v="2"/>
    <x v="0"/>
    <s v="Yes"/>
    <n v="6633"/>
    <n v="0"/>
    <n v="128"/>
    <n v="360"/>
    <x v="1"/>
    <x v="1"/>
    <x v="1"/>
    <n v="6633"/>
    <s v="High"/>
    <x v="1"/>
    <s v="High Risk"/>
  </r>
  <r>
    <s v="LP002784"/>
    <s v="Male"/>
    <s v="Yes"/>
    <n v="1"/>
    <x v="1"/>
    <s v="No"/>
    <n v="2492"/>
    <n v="2375"/>
    <n v="128"/>
    <n v="360"/>
    <x v="0"/>
    <x v="1"/>
    <x v="0"/>
    <n v="4867"/>
    <s v="Medium"/>
    <x v="0"/>
    <s v="Low Risk"/>
  </r>
  <r>
    <s v="LP002785"/>
    <s v="Male"/>
    <s v="Yes"/>
    <n v="1"/>
    <x v="0"/>
    <s v="No"/>
    <n v="3333"/>
    <n v="3250"/>
    <n v="158"/>
    <n v="360"/>
    <x v="0"/>
    <x v="0"/>
    <x v="0"/>
    <n v="6583"/>
    <s v="High"/>
    <x v="0"/>
    <s v="Low Risk"/>
  </r>
  <r>
    <s v="LP002788"/>
    <s v="Male"/>
    <s v="Yes"/>
    <n v="0"/>
    <x v="1"/>
    <s v="No"/>
    <n v="2454"/>
    <n v="2333"/>
    <n v="181"/>
    <n v="360"/>
    <x v="1"/>
    <x v="0"/>
    <x v="1"/>
    <n v="4787"/>
    <s v="Medium"/>
    <x v="1"/>
    <s v="High Risk"/>
  </r>
  <r>
    <s v="LP002789"/>
    <s v="Male"/>
    <s v="Yes"/>
    <n v="0"/>
    <x v="0"/>
    <s v="No"/>
    <n v="3593"/>
    <n v="4266"/>
    <n v="132"/>
    <n v="180"/>
    <x v="1"/>
    <x v="1"/>
    <x v="1"/>
    <n v="7859"/>
    <s v="High"/>
    <x v="1"/>
    <s v="High Risk"/>
  </r>
  <r>
    <s v="LP002792"/>
    <s v="Male"/>
    <s v="Yes"/>
    <n v="1"/>
    <x v="0"/>
    <s v="No"/>
    <n v="5468"/>
    <n v="1032"/>
    <n v="26"/>
    <n v="360"/>
    <x v="0"/>
    <x v="2"/>
    <x v="0"/>
    <n v="6500"/>
    <s v="High"/>
    <x v="0"/>
    <s v="Low Risk"/>
  </r>
  <r>
    <s v="LP002794"/>
    <s v="Female"/>
    <s v="No"/>
    <n v="0"/>
    <x v="0"/>
    <s v="No"/>
    <n v="2667"/>
    <n v="1625"/>
    <n v="84"/>
    <n v="360"/>
    <x v="0"/>
    <x v="0"/>
    <x v="0"/>
    <n v="4292"/>
    <s v="Medium"/>
    <x v="0"/>
    <s v="Low Risk"/>
  </r>
  <r>
    <s v="LP002795"/>
    <s v="Male"/>
    <s v="Yes"/>
    <s v="3+"/>
    <x v="0"/>
    <s v="Yes"/>
    <n v="10139"/>
    <n v="0"/>
    <n v="260"/>
    <n v="360"/>
    <x v="0"/>
    <x v="2"/>
    <x v="0"/>
    <n v="10139"/>
    <s v="Very High"/>
    <x v="0"/>
    <s v="Low Risk"/>
  </r>
  <r>
    <s v="LP002798"/>
    <s v="Male"/>
    <s v="Yes"/>
    <n v="0"/>
    <x v="0"/>
    <s v="No"/>
    <n v="3887"/>
    <n v="2669"/>
    <n v="162"/>
    <n v="360"/>
    <x v="0"/>
    <x v="2"/>
    <x v="0"/>
    <n v="6556"/>
    <s v="High"/>
    <x v="0"/>
    <s v="Low Risk"/>
  </r>
  <r>
    <s v="LP002804"/>
    <s v="Female"/>
    <s v="Yes"/>
    <n v="0"/>
    <x v="0"/>
    <s v="No"/>
    <n v="4180"/>
    <n v="2306"/>
    <n v="182"/>
    <n v="360"/>
    <x v="0"/>
    <x v="2"/>
    <x v="0"/>
    <n v="6486"/>
    <s v="High"/>
    <x v="0"/>
    <s v="Low Risk"/>
  </r>
  <r>
    <s v="LP002807"/>
    <s v="Male"/>
    <s v="Yes"/>
    <n v="2"/>
    <x v="1"/>
    <s v="No"/>
    <n v="3675"/>
    <n v="242"/>
    <n v="108"/>
    <n v="360"/>
    <x v="0"/>
    <x v="2"/>
    <x v="0"/>
    <n v="3917"/>
    <s v="Medium"/>
    <x v="0"/>
    <s v="Low Risk"/>
  </r>
  <r>
    <s v="LP002813"/>
    <s v="Female"/>
    <s v="Yes"/>
    <n v="1"/>
    <x v="0"/>
    <s v="Yes"/>
    <n v="19484"/>
    <n v="0"/>
    <n v="600"/>
    <n v="360"/>
    <x v="0"/>
    <x v="2"/>
    <x v="0"/>
    <n v="19484"/>
    <s v="Very High"/>
    <x v="0"/>
    <s v="Low Risk"/>
  </r>
  <r>
    <s v="LP002820"/>
    <s v="Male"/>
    <s v="Yes"/>
    <n v="0"/>
    <x v="0"/>
    <s v="No"/>
    <n v="5923"/>
    <n v="2054"/>
    <n v="211"/>
    <n v="360"/>
    <x v="0"/>
    <x v="1"/>
    <x v="0"/>
    <n v="7977"/>
    <s v="High"/>
    <x v="0"/>
    <s v="Low Risk"/>
  </r>
  <r>
    <s v="LP002821"/>
    <s v="Male"/>
    <s v="No"/>
    <n v="0"/>
    <x v="1"/>
    <s v="Yes"/>
    <n v="5800"/>
    <n v="0"/>
    <n v="132"/>
    <n v="360"/>
    <x v="0"/>
    <x v="2"/>
    <x v="0"/>
    <n v="5800"/>
    <s v="High"/>
    <x v="0"/>
    <s v="Low Risk"/>
  </r>
  <r>
    <s v="LP002832"/>
    <s v="Male"/>
    <s v="Yes"/>
    <n v="2"/>
    <x v="0"/>
    <s v="No"/>
    <n v="8799"/>
    <n v="0"/>
    <n v="258"/>
    <n v="360"/>
    <x v="1"/>
    <x v="0"/>
    <x v="1"/>
    <n v="8799"/>
    <s v="High"/>
    <x v="1"/>
    <s v="High Risk"/>
  </r>
  <r>
    <s v="LP002833"/>
    <s v="Male"/>
    <s v="Yes"/>
    <n v="0"/>
    <x v="1"/>
    <s v="No"/>
    <n v="4467"/>
    <n v="0"/>
    <n v="120"/>
    <n v="360"/>
    <x v="0"/>
    <x v="1"/>
    <x v="0"/>
    <n v="4467"/>
    <s v="Medium"/>
    <x v="0"/>
    <s v="Low Risk"/>
  </r>
  <r>
    <s v="LP002836"/>
    <s v="Male"/>
    <s v="No"/>
    <n v="0"/>
    <x v="0"/>
    <s v="No"/>
    <n v="3333"/>
    <n v="0"/>
    <n v="70"/>
    <n v="360"/>
    <x v="0"/>
    <x v="0"/>
    <x v="0"/>
    <n v="3333"/>
    <s v="Medium"/>
    <x v="0"/>
    <s v="Low Risk"/>
  </r>
  <r>
    <s v="LP002837"/>
    <s v="Male"/>
    <s v="Yes"/>
    <s v="3+"/>
    <x v="0"/>
    <s v="No"/>
    <n v="3400"/>
    <n v="2500"/>
    <n v="123"/>
    <n v="360"/>
    <x v="1"/>
    <x v="1"/>
    <x v="1"/>
    <n v="5900"/>
    <s v="High"/>
    <x v="1"/>
    <s v="High Risk"/>
  </r>
  <r>
    <s v="LP002840"/>
    <s v="Female"/>
    <s v="No"/>
    <n v="0"/>
    <x v="0"/>
    <s v="No"/>
    <n v="2378"/>
    <n v="0"/>
    <n v="9"/>
    <n v="360"/>
    <x v="0"/>
    <x v="0"/>
    <x v="1"/>
    <n v="2378"/>
    <s v="Low"/>
    <x v="1"/>
    <s v="Low Risk"/>
  </r>
  <r>
    <s v="LP002841"/>
    <s v="Male"/>
    <s v="Yes"/>
    <n v="0"/>
    <x v="0"/>
    <s v="No"/>
    <n v="3166"/>
    <n v="2064"/>
    <n v="104"/>
    <n v="360"/>
    <x v="1"/>
    <x v="0"/>
    <x v="1"/>
    <n v="5230"/>
    <s v="High"/>
    <x v="1"/>
    <s v="High Risk"/>
  </r>
  <r>
    <s v="LP002842"/>
    <s v="Male"/>
    <s v="Yes"/>
    <n v="1"/>
    <x v="0"/>
    <s v="No"/>
    <n v="3417"/>
    <n v="1750"/>
    <n v="186"/>
    <n v="360"/>
    <x v="0"/>
    <x v="0"/>
    <x v="0"/>
    <n v="5167"/>
    <s v="High"/>
    <x v="0"/>
    <s v="Low Risk"/>
  </r>
  <r>
    <s v="LP002847"/>
    <s v="Male"/>
    <s v="Yes"/>
    <n v="0"/>
    <x v="0"/>
    <s v="No"/>
    <n v="5116"/>
    <n v="1451"/>
    <n v="165"/>
    <n v="360"/>
    <x v="1"/>
    <x v="0"/>
    <x v="1"/>
    <n v="6567"/>
    <s v="High"/>
    <x v="1"/>
    <s v="High Risk"/>
  </r>
  <r>
    <s v="LP002855"/>
    <s v="Male"/>
    <s v="Yes"/>
    <n v="2"/>
    <x v="0"/>
    <s v="No"/>
    <n v="16666"/>
    <n v="0"/>
    <n v="275"/>
    <n v="360"/>
    <x v="0"/>
    <x v="0"/>
    <x v="0"/>
    <n v="16666"/>
    <s v="Very High"/>
    <x v="0"/>
    <s v="Low Risk"/>
  </r>
  <r>
    <s v="LP002862"/>
    <s v="Male"/>
    <s v="Yes"/>
    <n v="2"/>
    <x v="1"/>
    <s v="No"/>
    <n v="6125"/>
    <n v="1625"/>
    <n v="187"/>
    <n v="480"/>
    <x v="0"/>
    <x v="2"/>
    <x v="1"/>
    <n v="7750"/>
    <s v="High"/>
    <x v="1"/>
    <s v="Low Risk"/>
  </r>
  <r>
    <s v="LP002863"/>
    <s v="Male"/>
    <s v="Yes"/>
    <s v="3+"/>
    <x v="0"/>
    <s v="No"/>
    <n v="6406"/>
    <n v="0"/>
    <n v="150"/>
    <n v="360"/>
    <x v="0"/>
    <x v="2"/>
    <x v="1"/>
    <n v="6406"/>
    <s v="High"/>
    <x v="1"/>
    <s v="Low Risk"/>
  </r>
  <r>
    <s v="LP002868"/>
    <s v="Male"/>
    <s v="Yes"/>
    <n v="2"/>
    <x v="0"/>
    <s v="No"/>
    <n v="3159"/>
    <n v="461"/>
    <n v="108"/>
    <n v="84"/>
    <x v="0"/>
    <x v="0"/>
    <x v="0"/>
    <n v="3620"/>
    <s v="Medium"/>
    <x v="0"/>
    <s v="Low Risk"/>
  </r>
  <r>
    <s v="LP002872"/>
    <s v="Male"/>
    <s v="Yes"/>
    <n v="0"/>
    <x v="0"/>
    <s v="No"/>
    <n v="3087"/>
    <n v="2210"/>
    <n v="136"/>
    <n v="360"/>
    <x v="1"/>
    <x v="2"/>
    <x v="1"/>
    <n v="5297"/>
    <s v="High"/>
    <x v="1"/>
    <s v="High Risk"/>
  </r>
  <r>
    <s v="LP002874"/>
    <s v="Male"/>
    <s v="No"/>
    <n v="0"/>
    <x v="0"/>
    <s v="No"/>
    <n v="3229"/>
    <n v="2739"/>
    <n v="110"/>
    <n v="360"/>
    <x v="0"/>
    <x v="0"/>
    <x v="0"/>
    <n v="5968"/>
    <s v="High"/>
    <x v="0"/>
    <s v="Low Risk"/>
  </r>
  <r>
    <s v="LP002877"/>
    <s v="Male"/>
    <s v="Yes"/>
    <n v="1"/>
    <x v="0"/>
    <s v="No"/>
    <n v="1782"/>
    <n v="2232"/>
    <n v="107"/>
    <n v="360"/>
    <x v="0"/>
    <x v="1"/>
    <x v="0"/>
    <n v="4014"/>
    <s v="Medium"/>
    <x v="0"/>
    <s v="Low Risk"/>
  </r>
  <r>
    <s v="LP002888"/>
    <s v="Male"/>
    <s v="No"/>
    <n v="0"/>
    <x v="0"/>
    <m/>
    <n v="3182"/>
    <n v="2917"/>
    <n v="161"/>
    <n v="360"/>
    <x v="0"/>
    <x v="0"/>
    <x v="0"/>
    <n v="6099"/>
    <s v="High"/>
    <x v="0"/>
    <s v="Low Risk"/>
  </r>
  <r>
    <s v="LP002892"/>
    <s v="Male"/>
    <s v="Yes"/>
    <n v="2"/>
    <x v="0"/>
    <s v="No"/>
    <n v="6540"/>
    <n v="0"/>
    <n v="205"/>
    <n v="360"/>
    <x v="0"/>
    <x v="2"/>
    <x v="0"/>
    <n v="6540"/>
    <s v="High"/>
    <x v="0"/>
    <s v="Low Risk"/>
  </r>
  <r>
    <s v="LP002893"/>
    <s v="Male"/>
    <s v="No"/>
    <n v="0"/>
    <x v="0"/>
    <s v="No"/>
    <n v="1836"/>
    <n v="33837"/>
    <n v="90"/>
    <n v="360"/>
    <x v="0"/>
    <x v="0"/>
    <x v="1"/>
    <n v="35673"/>
    <s v="Very High"/>
    <x v="1"/>
    <s v="Low Risk"/>
  </r>
  <r>
    <s v="LP002894"/>
    <s v="Female"/>
    <s v="Yes"/>
    <n v="0"/>
    <x v="0"/>
    <s v="No"/>
    <n v="3166"/>
    <n v="0"/>
    <n v="36"/>
    <n v="360"/>
    <x v="0"/>
    <x v="2"/>
    <x v="0"/>
    <n v="3166"/>
    <s v="Medium"/>
    <x v="0"/>
    <s v="Low Risk"/>
  </r>
  <r>
    <s v="LP002898"/>
    <s v="Male"/>
    <s v="Yes"/>
    <n v="1"/>
    <x v="0"/>
    <s v="No"/>
    <n v="1880"/>
    <n v="0"/>
    <n v="61"/>
    <n v="360"/>
    <x v="0"/>
    <x v="1"/>
    <x v="1"/>
    <n v="1880"/>
    <s v="Low"/>
    <x v="1"/>
    <s v="Low Risk"/>
  </r>
  <r>
    <s v="LP002911"/>
    <s v="Male"/>
    <s v="Yes"/>
    <n v="1"/>
    <x v="0"/>
    <s v="No"/>
    <n v="2787"/>
    <n v="1917"/>
    <n v="146"/>
    <n v="360"/>
    <x v="1"/>
    <x v="1"/>
    <x v="1"/>
    <n v="4704"/>
    <s v="Medium"/>
    <x v="1"/>
    <s v="High Risk"/>
  </r>
  <r>
    <s v="LP002912"/>
    <s v="Male"/>
    <s v="Yes"/>
    <n v="1"/>
    <x v="0"/>
    <s v="No"/>
    <n v="4283"/>
    <n v="3000"/>
    <n v="172"/>
    <n v="84"/>
    <x v="0"/>
    <x v="1"/>
    <x v="1"/>
    <n v="7283"/>
    <s v="High"/>
    <x v="1"/>
    <s v="Low Risk"/>
  </r>
  <r>
    <s v="LP002916"/>
    <s v="Male"/>
    <s v="Yes"/>
    <n v="0"/>
    <x v="0"/>
    <s v="No"/>
    <n v="2297"/>
    <n v="1522"/>
    <n v="104"/>
    <n v="360"/>
    <x v="0"/>
    <x v="0"/>
    <x v="0"/>
    <n v="3819"/>
    <s v="Medium"/>
    <x v="0"/>
    <s v="Low Risk"/>
  </r>
  <r>
    <s v="LP002917"/>
    <s v="Female"/>
    <s v="No"/>
    <n v="0"/>
    <x v="1"/>
    <s v="No"/>
    <n v="2165"/>
    <n v="0"/>
    <n v="70"/>
    <n v="360"/>
    <x v="0"/>
    <x v="2"/>
    <x v="0"/>
    <n v="2165"/>
    <s v="Low"/>
    <x v="0"/>
    <s v="Low Risk"/>
  </r>
  <r>
    <s v="LP002925"/>
    <s v="Male"/>
    <s v="No"/>
    <n v="0"/>
    <x v="0"/>
    <s v="No"/>
    <n v="4750"/>
    <n v="0"/>
    <n v="94"/>
    <n v="360"/>
    <x v="0"/>
    <x v="2"/>
    <x v="0"/>
    <n v="4750"/>
    <s v="Medium"/>
    <x v="0"/>
    <s v="Low Risk"/>
  </r>
  <r>
    <s v="LP002926"/>
    <s v="Male"/>
    <s v="Yes"/>
    <n v="2"/>
    <x v="0"/>
    <s v="Yes"/>
    <n v="2726"/>
    <n v="0"/>
    <n v="106"/>
    <n v="360"/>
    <x v="1"/>
    <x v="2"/>
    <x v="1"/>
    <n v="2726"/>
    <s v="Medium"/>
    <x v="1"/>
    <s v="High Risk"/>
  </r>
  <r>
    <s v="LP002928"/>
    <s v="Male"/>
    <s v="Yes"/>
    <n v="0"/>
    <x v="0"/>
    <s v="No"/>
    <n v="3000"/>
    <n v="3416"/>
    <n v="56"/>
    <n v="180"/>
    <x v="0"/>
    <x v="2"/>
    <x v="0"/>
    <n v="6416"/>
    <s v="High"/>
    <x v="0"/>
    <s v="Low Risk"/>
  </r>
  <r>
    <s v="LP002931"/>
    <s v="Male"/>
    <s v="Yes"/>
    <n v="2"/>
    <x v="0"/>
    <s v="Yes"/>
    <n v="6000"/>
    <n v="0"/>
    <n v="205"/>
    <n v="240"/>
    <x v="0"/>
    <x v="2"/>
    <x v="1"/>
    <n v="6000"/>
    <s v="High"/>
    <x v="1"/>
    <s v="Low Risk"/>
  </r>
  <r>
    <s v="LP002933"/>
    <s v="Male"/>
    <s v="No"/>
    <s v="3+"/>
    <x v="0"/>
    <s v="Yes"/>
    <n v="9357"/>
    <n v="0"/>
    <n v="292"/>
    <n v="360"/>
    <x v="0"/>
    <x v="2"/>
    <x v="0"/>
    <n v="9357"/>
    <s v="High"/>
    <x v="0"/>
    <s v="Low Risk"/>
  </r>
  <r>
    <s v="LP002936"/>
    <s v="Male"/>
    <s v="Yes"/>
    <n v="0"/>
    <x v="0"/>
    <s v="No"/>
    <n v="3859"/>
    <n v="3300"/>
    <n v="142"/>
    <n v="180"/>
    <x v="0"/>
    <x v="1"/>
    <x v="0"/>
    <n v="7159"/>
    <s v="High"/>
    <x v="0"/>
    <s v="Low Risk"/>
  </r>
  <r>
    <s v="LP002938"/>
    <s v="Male"/>
    <s v="Yes"/>
    <n v="0"/>
    <x v="0"/>
    <s v="Yes"/>
    <n v="16120"/>
    <n v="0"/>
    <n v="260"/>
    <n v="360"/>
    <x v="0"/>
    <x v="0"/>
    <x v="0"/>
    <n v="16120"/>
    <s v="Very High"/>
    <x v="0"/>
    <s v="Low Risk"/>
  </r>
  <r>
    <s v="LP002940"/>
    <s v="Male"/>
    <s v="No"/>
    <n v="0"/>
    <x v="1"/>
    <s v="No"/>
    <n v="3833"/>
    <n v="0"/>
    <n v="110"/>
    <n v="360"/>
    <x v="0"/>
    <x v="1"/>
    <x v="0"/>
    <n v="3833"/>
    <s v="Medium"/>
    <x v="0"/>
    <s v="Low Risk"/>
  </r>
  <r>
    <s v="LP002941"/>
    <s v="Male"/>
    <s v="Yes"/>
    <n v="2"/>
    <x v="1"/>
    <s v="Yes"/>
    <n v="6383"/>
    <n v="1000"/>
    <n v="187"/>
    <n v="360"/>
    <x v="0"/>
    <x v="1"/>
    <x v="1"/>
    <n v="7383"/>
    <s v="High"/>
    <x v="1"/>
    <s v="Low Risk"/>
  </r>
  <r>
    <s v="LP002943"/>
    <s v="Male"/>
    <s v="No"/>
    <n v="0"/>
    <x v="0"/>
    <s v="No"/>
    <n v="2987"/>
    <n v="0"/>
    <n v="88"/>
    <n v="360"/>
    <x v="1"/>
    <x v="2"/>
    <x v="1"/>
    <n v="2987"/>
    <s v="Medium"/>
    <x v="1"/>
    <s v="High Risk"/>
  </r>
  <r>
    <s v="LP002945"/>
    <s v="Male"/>
    <s v="Yes"/>
    <n v="0"/>
    <x v="0"/>
    <s v="Yes"/>
    <n v="9963"/>
    <n v="0"/>
    <n v="180"/>
    <n v="360"/>
    <x v="0"/>
    <x v="1"/>
    <x v="0"/>
    <n v="9963"/>
    <s v="High"/>
    <x v="0"/>
    <s v="Low Risk"/>
  </r>
  <r>
    <s v="LP002948"/>
    <s v="Male"/>
    <s v="Yes"/>
    <n v="2"/>
    <x v="0"/>
    <s v="No"/>
    <n v="5780"/>
    <n v="0"/>
    <n v="192"/>
    <n v="360"/>
    <x v="0"/>
    <x v="0"/>
    <x v="0"/>
    <n v="5780"/>
    <s v="High"/>
    <x v="0"/>
    <s v="Low Risk"/>
  </r>
  <r>
    <s v="LP002949"/>
    <s v="Female"/>
    <s v="No"/>
    <s v="3+"/>
    <x v="0"/>
    <m/>
    <n v="416"/>
    <n v="41667"/>
    <n v="350"/>
    <n v="180"/>
    <x v="0"/>
    <x v="0"/>
    <x v="1"/>
    <n v="42083"/>
    <s v="Very High"/>
    <x v="1"/>
    <s v="Low Risk"/>
  </r>
  <r>
    <s v="LP002950"/>
    <s v="Male"/>
    <s v="Yes"/>
    <n v="0"/>
    <x v="1"/>
    <m/>
    <n v="2894"/>
    <n v="2792"/>
    <n v="155"/>
    <n v="360"/>
    <x v="0"/>
    <x v="1"/>
    <x v="0"/>
    <n v="5686"/>
    <s v="High"/>
    <x v="0"/>
    <s v="Low Risk"/>
  </r>
  <r>
    <s v="LP002953"/>
    <s v="Male"/>
    <s v="Yes"/>
    <s v="3+"/>
    <x v="0"/>
    <s v="No"/>
    <n v="5703"/>
    <n v="0"/>
    <n v="128"/>
    <n v="360"/>
    <x v="0"/>
    <x v="0"/>
    <x v="0"/>
    <n v="5703"/>
    <s v="High"/>
    <x v="0"/>
    <s v="Low Risk"/>
  </r>
  <r>
    <s v="LP002958"/>
    <s v="Male"/>
    <s v="No"/>
    <n v="0"/>
    <x v="0"/>
    <s v="No"/>
    <n v="3676"/>
    <n v="4301"/>
    <n v="172"/>
    <n v="360"/>
    <x v="0"/>
    <x v="1"/>
    <x v="0"/>
    <n v="7977"/>
    <s v="High"/>
    <x v="0"/>
    <s v="Low Risk"/>
  </r>
  <r>
    <s v="LP002959"/>
    <s v="Female"/>
    <s v="Yes"/>
    <n v="1"/>
    <x v="0"/>
    <s v="No"/>
    <n v="12000"/>
    <n v="0"/>
    <n v="496"/>
    <n v="360"/>
    <x v="0"/>
    <x v="2"/>
    <x v="0"/>
    <n v="12000"/>
    <s v="Very High"/>
    <x v="0"/>
    <s v="Low Risk"/>
  </r>
  <r>
    <s v="LP002960"/>
    <s v="Male"/>
    <s v="Yes"/>
    <n v="0"/>
    <x v="1"/>
    <s v="No"/>
    <n v="2400"/>
    <n v="3800"/>
    <n v="128"/>
    <n v="180"/>
    <x v="0"/>
    <x v="0"/>
    <x v="1"/>
    <n v="6200"/>
    <s v="High"/>
    <x v="1"/>
    <s v="Low Risk"/>
  </r>
  <r>
    <s v="LP002961"/>
    <s v="Male"/>
    <s v="Yes"/>
    <n v="1"/>
    <x v="0"/>
    <s v="No"/>
    <n v="3400"/>
    <n v="2500"/>
    <n v="173"/>
    <n v="360"/>
    <x v="0"/>
    <x v="2"/>
    <x v="0"/>
    <n v="5900"/>
    <s v="High"/>
    <x v="0"/>
    <s v="Low Risk"/>
  </r>
  <r>
    <s v="LP002964"/>
    <s v="Male"/>
    <s v="Yes"/>
    <n v="2"/>
    <x v="1"/>
    <s v="No"/>
    <n v="3987"/>
    <n v="1411"/>
    <n v="157"/>
    <n v="360"/>
    <x v="0"/>
    <x v="1"/>
    <x v="0"/>
    <n v="5398"/>
    <s v="High"/>
    <x v="0"/>
    <s v="Low Risk"/>
  </r>
  <r>
    <s v="LP002974"/>
    <s v="Male"/>
    <s v="Yes"/>
    <n v="0"/>
    <x v="0"/>
    <s v="No"/>
    <n v="3232"/>
    <n v="1950"/>
    <n v="108"/>
    <n v="360"/>
    <x v="0"/>
    <x v="1"/>
    <x v="0"/>
    <n v="5182"/>
    <s v="High"/>
    <x v="0"/>
    <s v="Low Risk"/>
  </r>
  <r>
    <s v="LP002978"/>
    <s v="Female"/>
    <s v="No"/>
    <n v="0"/>
    <x v="0"/>
    <s v="No"/>
    <n v="2900"/>
    <n v="0"/>
    <n v="71"/>
    <n v="360"/>
    <x v="0"/>
    <x v="1"/>
    <x v="0"/>
    <n v="2900"/>
    <s v="Medium"/>
    <x v="0"/>
    <s v="Low Risk"/>
  </r>
  <r>
    <s v="LP002979"/>
    <s v="Male"/>
    <s v="Yes"/>
    <s v="3+"/>
    <x v="0"/>
    <s v="No"/>
    <n v="4106"/>
    <n v="0"/>
    <n v="40"/>
    <n v="180"/>
    <x v="0"/>
    <x v="1"/>
    <x v="0"/>
    <n v="4106"/>
    <s v="Medium"/>
    <x v="0"/>
    <s v="Low Risk"/>
  </r>
  <r>
    <s v="LP002983"/>
    <s v="Male"/>
    <s v="Yes"/>
    <n v="1"/>
    <x v="0"/>
    <s v="No"/>
    <n v="8072"/>
    <n v="240"/>
    <n v="253"/>
    <n v="360"/>
    <x v="0"/>
    <x v="0"/>
    <x v="0"/>
    <n v="8312"/>
    <s v="High"/>
    <x v="0"/>
    <s v="Low Risk"/>
  </r>
  <r>
    <s v="LP002984"/>
    <s v="Male"/>
    <s v="Yes"/>
    <n v="2"/>
    <x v="0"/>
    <s v="No"/>
    <n v="7583"/>
    <n v="0"/>
    <n v="187"/>
    <n v="360"/>
    <x v="0"/>
    <x v="0"/>
    <x v="0"/>
    <n v="7583"/>
    <s v="High"/>
    <x v="0"/>
    <s v="Low Risk"/>
  </r>
  <r>
    <s v="LP002990"/>
    <s v="Female"/>
    <s v="No"/>
    <n v="0"/>
    <x v="0"/>
    <s v="Yes"/>
    <n v="4583"/>
    <n v="0"/>
    <n v="133"/>
    <n v="360"/>
    <x v="1"/>
    <x v="2"/>
    <x v="1"/>
    <n v="4583"/>
    <s v="Medium"/>
    <x v="1"/>
    <s v="High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340CD-7D29-4EAD-88DE-EE8F6AAFAE64}" name="Avg Income by Loan Status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Average of Total_Income" fld="13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F1D66-CD01-44A4-8ECE-EEC7929691FF}" name="Loan Status by Credit History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8:I12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4EF28-D5EC-4F52-B6B1-32960B23FA35}" name="Avg Loan Amount by Property Area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5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LoanAmount" fld="8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0D151-B772-4F54-9CE2-37E23D6CD31C}" name="Loan Status by Property Area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D13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29494-7052-47B9-81D2-9AC8DC4E2ADC}" name="Loan Status by Education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5" firstHeaderRow="1" firstDataRow="2" firstDataCol="1"/>
  <pivotFields count="17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87A5-7029-4948-A482-67A3F2401996}">
  <dimension ref="A1:Q615"/>
  <sheetViews>
    <sheetView tabSelected="1" zoomScale="106" zoomScaleNormal="106" workbookViewId="0">
      <selection activeCell="D9" sqref="D9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641</v>
      </c>
      <c r="O1" t="s">
        <v>642</v>
      </c>
      <c r="P1" t="s">
        <v>643</v>
      </c>
      <c r="Q1" t="s">
        <v>644</v>
      </c>
    </row>
    <row r="2" spans="1:17" x14ac:dyDescent="0.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I2">
        <v>128</v>
      </c>
      <c r="J2">
        <v>360</v>
      </c>
      <c r="K2">
        <v>1</v>
      </c>
      <c r="L2" t="s">
        <v>17</v>
      </c>
      <c r="M2" t="s">
        <v>18</v>
      </c>
      <c r="N2">
        <f>G2+H2</f>
        <v>5849</v>
      </c>
      <c r="O2" t="str">
        <f>IF(N2&lt;2500,"Low",IF(N2&lt;5000,"Medium",IF(N2&lt;10000,"High","Very High")))</f>
        <v>High</v>
      </c>
      <c r="P2" t="str">
        <f>IF(M2="Y","Approved","Rejected")</f>
        <v>Approved</v>
      </c>
      <c r="Q2" t="str">
        <f>IF(K2=1,"Low Risk","High Risk")</f>
        <v>Low Risk</v>
      </c>
    </row>
    <row r="3" spans="1:17" x14ac:dyDescent="0.3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  <c r="N3">
        <f t="shared" ref="N3:N66" si="0">G3+H3</f>
        <v>6091</v>
      </c>
      <c r="O3" t="str">
        <f t="shared" ref="O3:O66" si="1">IF(N3&lt;2500,"Low",IF(N3&lt;5000,"Medium",IF(N3&lt;10000,"High","Very High")))</f>
        <v>High</v>
      </c>
      <c r="P3" t="str">
        <f t="shared" ref="P3:P66" si="2">IF(M3="Y","Approved","Rejected")</f>
        <v>Rejected</v>
      </c>
      <c r="Q3" t="str">
        <f t="shared" ref="Q3:Q66" si="3">IF(K3=1,"Low Risk","High Risk")</f>
        <v>Low Risk</v>
      </c>
    </row>
    <row r="4" spans="1:17" x14ac:dyDescent="0.3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  <c r="N4">
        <f t="shared" si="0"/>
        <v>3000</v>
      </c>
      <c r="O4" t="str">
        <f t="shared" si="1"/>
        <v>Medium</v>
      </c>
      <c r="P4" t="str">
        <f t="shared" si="2"/>
        <v>Approved</v>
      </c>
      <c r="Q4" t="str">
        <f t="shared" si="3"/>
        <v>Low Risk</v>
      </c>
    </row>
    <row r="5" spans="1:17" x14ac:dyDescent="0.3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  <c r="N5">
        <f t="shared" si="0"/>
        <v>4941</v>
      </c>
      <c r="O5" t="str">
        <f t="shared" si="1"/>
        <v>Medium</v>
      </c>
      <c r="P5" t="str">
        <f t="shared" si="2"/>
        <v>Approved</v>
      </c>
      <c r="Q5" t="str">
        <f t="shared" si="3"/>
        <v>Low Risk</v>
      </c>
    </row>
    <row r="6" spans="1:17" x14ac:dyDescent="0.3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  <c r="N6">
        <f t="shared" si="0"/>
        <v>6000</v>
      </c>
      <c r="O6" t="str">
        <f t="shared" si="1"/>
        <v>High</v>
      </c>
      <c r="P6" t="str">
        <f t="shared" si="2"/>
        <v>Approved</v>
      </c>
      <c r="Q6" t="str">
        <f t="shared" si="3"/>
        <v>Low Risk</v>
      </c>
    </row>
    <row r="7" spans="1:17" x14ac:dyDescent="0.3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  <c r="N7">
        <f t="shared" si="0"/>
        <v>9613</v>
      </c>
      <c r="O7" t="str">
        <f t="shared" si="1"/>
        <v>High</v>
      </c>
      <c r="P7" t="str">
        <f t="shared" si="2"/>
        <v>Approved</v>
      </c>
      <c r="Q7" t="str">
        <f t="shared" si="3"/>
        <v>Low Risk</v>
      </c>
    </row>
    <row r="8" spans="1:17" x14ac:dyDescent="0.3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  <c r="N8">
        <f t="shared" si="0"/>
        <v>3849</v>
      </c>
      <c r="O8" t="str">
        <f t="shared" si="1"/>
        <v>Medium</v>
      </c>
      <c r="P8" t="str">
        <f t="shared" si="2"/>
        <v>Approved</v>
      </c>
      <c r="Q8" t="str">
        <f t="shared" si="3"/>
        <v>Low Risk</v>
      </c>
    </row>
    <row r="9" spans="1:17" x14ac:dyDescent="0.3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  <c r="N9">
        <f t="shared" si="0"/>
        <v>5540</v>
      </c>
      <c r="O9" t="str">
        <f t="shared" si="1"/>
        <v>High</v>
      </c>
      <c r="P9" t="str">
        <f t="shared" si="2"/>
        <v>Rejected</v>
      </c>
      <c r="Q9" t="str">
        <f t="shared" si="3"/>
        <v>High Risk</v>
      </c>
    </row>
    <row r="10" spans="1:17" x14ac:dyDescent="0.3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  <c r="N10">
        <f t="shared" si="0"/>
        <v>5532</v>
      </c>
      <c r="O10" t="str">
        <f t="shared" si="1"/>
        <v>High</v>
      </c>
      <c r="P10" t="str">
        <f t="shared" si="2"/>
        <v>Approved</v>
      </c>
      <c r="Q10" t="str">
        <f t="shared" si="3"/>
        <v>Low Risk</v>
      </c>
    </row>
    <row r="11" spans="1:17" x14ac:dyDescent="0.3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  <c r="N11">
        <f t="shared" si="0"/>
        <v>23809</v>
      </c>
      <c r="O11" t="str">
        <f t="shared" si="1"/>
        <v>Very High</v>
      </c>
      <c r="P11" t="str">
        <f t="shared" si="2"/>
        <v>Rejected</v>
      </c>
      <c r="Q11" t="str">
        <f t="shared" si="3"/>
        <v>Low Risk</v>
      </c>
    </row>
    <row r="12" spans="1:17" x14ac:dyDescent="0.3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  <c r="N12">
        <f t="shared" si="0"/>
        <v>3900</v>
      </c>
      <c r="O12" t="str">
        <f t="shared" si="1"/>
        <v>Medium</v>
      </c>
      <c r="P12" t="str">
        <f t="shared" si="2"/>
        <v>Approved</v>
      </c>
      <c r="Q12" t="str">
        <f t="shared" si="3"/>
        <v>Low Risk</v>
      </c>
    </row>
    <row r="13" spans="1:17" x14ac:dyDescent="0.3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  <c r="N13">
        <f t="shared" si="0"/>
        <v>4340</v>
      </c>
      <c r="O13" t="str">
        <f t="shared" si="1"/>
        <v>Medium</v>
      </c>
      <c r="P13" t="str">
        <f t="shared" si="2"/>
        <v>Approved</v>
      </c>
      <c r="Q13" t="str">
        <f t="shared" si="3"/>
        <v>Low Risk</v>
      </c>
    </row>
    <row r="14" spans="1:17" x14ac:dyDescent="0.3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  <c r="N14">
        <f t="shared" si="0"/>
        <v>11179</v>
      </c>
      <c r="O14" t="str">
        <f t="shared" si="1"/>
        <v>Very High</v>
      </c>
      <c r="P14" t="str">
        <f t="shared" si="2"/>
        <v>Approved</v>
      </c>
      <c r="Q14" t="str">
        <f t="shared" si="3"/>
        <v>Low Risk</v>
      </c>
    </row>
    <row r="15" spans="1:17" x14ac:dyDescent="0.3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  <c r="N15">
        <f t="shared" si="0"/>
        <v>4693</v>
      </c>
      <c r="O15" t="str">
        <f t="shared" si="1"/>
        <v>Medium</v>
      </c>
      <c r="P15" t="str">
        <f t="shared" si="2"/>
        <v>Rejected</v>
      </c>
      <c r="Q15" t="str">
        <f t="shared" si="3"/>
        <v>Low Risk</v>
      </c>
    </row>
    <row r="16" spans="1:17" x14ac:dyDescent="0.3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  <c r="N16">
        <f t="shared" si="0"/>
        <v>2385</v>
      </c>
      <c r="O16" t="str">
        <f t="shared" si="1"/>
        <v>Low</v>
      </c>
      <c r="P16" t="str">
        <f t="shared" si="2"/>
        <v>Approved</v>
      </c>
      <c r="Q16" t="str">
        <f t="shared" si="3"/>
        <v>Low Risk</v>
      </c>
    </row>
    <row r="17" spans="1:17" x14ac:dyDescent="0.3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  <c r="N17">
        <f t="shared" si="0"/>
        <v>4950</v>
      </c>
      <c r="O17" t="str">
        <f t="shared" si="1"/>
        <v>Medium</v>
      </c>
      <c r="P17" t="str">
        <f t="shared" si="2"/>
        <v>Approved</v>
      </c>
      <c r="Q17" t="str">
        <f t="shared" si="3"/>
        <v>Low Risk</v>
      </c>
    </row>
    <row r="18" spans="1:17" x14ac:dyDescent="0.3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K18">
        <v>1</v>
      </c>
      <c r="L18" t="s">
        <v>17</v>
      </c>
      <c r="M18" t="s">
        <v>18</v>
      </c>
      <c r="N18">
        <f t="shared" si="0"/>
        <v>3596</v>
      </c>
      <c r="O18" t="str">
        <f t="shared" si="1"/>
        <v>Medium</v>
      </c>
      <c r="P18" t="str">
        <f t="shared" si="2"/>
        <v>Approved</v>
      </c>
      <c r="Q18" t="str">
        <f t="shared" si="3"/>
        <v>Low Risk</v>
      </c>
    </row>
    <row r="19" spans="1:17" x14ac:dyDescent="0.3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  <c r="N19">
        <f t="shared" si="0"/>
        <v>3510</v>
      </c>
      <c r="O19" t="str">
        <f t="shared" si="1"/>
        <v>Medium</v>
      </c>
      <c r="P19" t="str">
        <f t="shared" si="2"/>
        <v>Rejected</v>
      </c>
      <c r="Q19" t="str">
        <f t="shared" si="3"/>
        <v>High Risk</v>
      </c>
    </row>
    <row r="20" spans="1:17" x14ac:dyDescent="0.3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  <c r="N20">
        <f t="shared" si="0"/>
        <v>4887</v>
      </c>
      <c r="O20" t="str">
        <f t="shared" si="1"/>
        <v>Medium</v>
      </c>
      <c r="P20" t="str">
        <f t="shared" si="2"/>
        <v>Rejected</v>
      </c>
      <c r="Q20" t="str">
        <f t="shared" si="3"/>
        <v>Low Risk</v>
      </c>
    </row>
    <row r="21" spans="1:17" x14ac:dyDescent="0.3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J21">
        <v>360</v>
      </c>
      <c r="K21">
        <v>1</v>
      </c>
      <c r="L21" t="s">
        <v>17</v>
      </c>
      <c r="M21" t="s">
        <v>18</v>
      </c>
      <c r="N21">
        <f t="shared" si="0"/>
        <v>6100</v>
      </c>
      <c r="O21" t="str">
        <f t="shared" si="1"/>
        <v>High</v>
      </c>
      <c r="P21" t="str">
        <f t="shared" si="2"/>
        <v>Approved</v>
      </c>
      <c r="Q21" t="str">
        <f t="shared" si="3"/>
        <v>Low Risk</v>
      </c>
    </row>
    <row r="22" spans="1:17" x14ac:dyDescent="0.3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  <c r="N22">
        <f t="shared" si="0"/>
        <v>7660</v>
      </c>
      <c r="O22" t="str">
        <f t="shared" si="1"/>
        <v>High</v>
      </c>
      <c r="P22" t="str">
        <f t="shared" si="2"/>
        <v>Rejected</v>
      </c>
      <c r="Q22" t="str">
        <f t="shared" si="3"/>
        <v>High Risk</v>
      </c>
    </row>
    <row r="23" spans="1:17" x14ac:dyDescent="0.3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  <c r="N23">
        <f t="shared" si="0"/>
        <v>11580</v>
      </c>
      <c r="O23" t="str">
        <f t="shared" si="1"/>
        <v>Very High</v>
      </c>
      <c r="P23" t="str">
        <f t="shared" si="2"/>
        <v>Approved</v>
      </c>
      <c r="Q23" t="str">
        <f t="shared" si="3"/>
        <v>Low Risk</v>
      </c>
    </row>
    <row r="24" spans="1:17" x14ac:dyDescent="0.3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  <c r="N24">
        <f t="shared" si="0"/>
        <v>4511</v>
      </c>
      <c r="O24" t="str">
        <f t="shared" si="1"/>
        <v>Medium</v>
      </c>
      <c r="P24" t="str">
        <f t="shared" si="2"/>
        <v>Rejected</v>
      </c>
      <c r="Q24" t="str">
        <f t="shared" si="3"/>
        <v>High Risk</v>
      </c>
    </row>
    <row r="25" spans="1:17" x14ac:dyDescent="0.3">
      <c r="A25" t="s">
        <v>48</v>
      </c>
      <c r="B25" t="s">
        <v>14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  <c r="N25">
        <f t="shared" si="0"/>
        <v>5282</v>
      </c>
      <c r="O25" t="str">
        <f t="shared" si="1"/>
        <v>High</v>
      </c>
      <c r="P25" t="str">
        <f t="shared" si="2"/>
        <v>Rejected</v>
      </c>
      <c r="Q25" t="str">
        <f t="shared" si="3"/>
        <v>High Risk</v>
      </c>
    </row>
    <row r="26" spans="1:17" x14ac:dyDescent="0.3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K26">
        <v>1</v>
      </c>
      <c r="L26" t="s">
        <v>31</v>
      </c>
      <c r="M26" t="s">
        <v>22</v>
      </c>
      <c r="N26">
        <f t="shared" si="0"/>
        <v>6642</v>
      </c>
      <c r="O26" t="str">
        <f t="shared" si="1"/>
        <v>High</v>
      </c>
      <c r="P26" t="str">
        <f t="shared" si="2"/>
        <v>Rejected</v>
      </c>
      <c r="Q26" t="str">
        <f t="shared" si="3"/>
        <v>Low Risk</v>
      </c>
    </row>
    <row r="27" spans="1:17" x14ac:dyDescent="0.3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  <c r="N27">
        <f t="shared" si="0"/>
        <v>9560</v>
      </c>
      <c r="O27" t="str">
        <f t="shared" si="1"/>
        <v>High</v>
      </c>
      <c r="P27" t="str">
        <f t="shared" si="2"/>
        <v>Approved</v>
      </c>
      <c r="Q27" t="str">
        <f t="shared" si="3"/>
        <v>Low Risk</v>
      </c>
    </row>
    <row r="28" spans="1:17" x14ac:dyDescent="0.3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  <c r="N28">
        <f t="shared" si="0"/>
        <v>5052</v>
      </c>
      <c r="O28" t="str">
        <f t="shared" si="1"/>
        <v>High</v>
      </c>
      <c r="P28" t="str">
        <f t="shared" si="2"/>
        <v>Approved</v>
      </c>
      <c r="Q28" t="str">
        <f t="shared" si="3"/>
        <v>Low Risk</v>
      </c>
    </row>
    <row r="29" spans="1:17" x14ac:dyDescent="0.3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  <c r="N29">
        <f t="shared" si="0"/>
        <v>5266</v>
      </c>
      <c r="O29" t="str">
        <f t="shared" si="1"/>
        <v>High</v>
      </c>
      <c r="P29" t="str">
        <f t="shared" si="2"/>
        <v>Approved</v>
      </c>
      <c r="Q29" t="str">
        <f t="shared" si="3"/>
        <v>Low Risk</v>
      </c>
    </row>
    <row r="30" spans="1:17" x14ac:dyDescent="0.3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  <c r="N30">
        <f t="shared" si="0"/>
        <v>1442</v>
      </c>
      <c r="O30" t="str">
        <f t="shared" si="1"/>
        <v>Low</v>
      </c>
      <c r="P30" t="str">
        <f t="shared" si="2"/>
        <v>Rejected</v>
      </c>
      <c r="Q30" t="str">
        <f t="shared" si="3"/>
        <v>Low Risk</v>
      </c>
    </row>
    <row r="31" spans="1:17" x14ac:dyDescent="0.3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  <c r="N31">
        <f t="shared" si="0"/>
        <v>5833</v>
      </c>
      <c r="O31" t="str">
        <f t="shared" si="1"/>
        <v>High</v>
      </c>
      <c r="P31" t="str">
        <f t="shared" si="2"/>
        <v>Approved</v>
      </c>
      <c r="Q31" t="str">
        <f t="shared" si="3"/>
        <v>Low Risk</v>
      </c>
    </row>
    <row r="32" spans="1:17" x14ac:dyDescent="0.3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K32">
        <v>1</v>
      </c>
      <c r="L32" t="s">
        <v>17</v>
      </c>
      <c r="M32" t="s">
        <v>22</v>
      </c>
      <c r="N32">
        <f t="shared" si="0"/>
        <v>7535</v>
      </c>
      <c r="O32" t="str">
        <f t="shared" si="1"/>
        <v>High</v>
      </c>
      <c r="P32" t="str">
        <f t="shared" si="2"/>
        <v>Rejected</v>
      </c>
      <c r="Q32" t="str">
        <f t="shared" si="3"/>
        <v>Low Risk</v>
      </c>
    </row>
    <row r="33" spans="1:17" x14ac:dyDescent="0.3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  <c r="N33">
        <f t="shared" si="0"/>
        <v>3167</v>
      </c>
      <c r="O33" t="str">
        <f t="shared" si="1"/>
        <v>Medium</v>
      </c>
      <c r="P33" t="str">
        <f t="shared" si="2"/>
        <v>Rejected</v>
      </c>
      <c r="Q33" t="str">
        <f t="shared" si="3"/>
        <v>Low Risk</v>
      </c>
    </row>
    <row r="34" spans="1:17" x14ac:dyDescent="0.3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  <c r="N34">
        <f t="shared" si="0"/>
        <v>4692</v>
      </c>
      <c r="O34" t="str">
        <f t="shared" si="1"/>
        <v>Medium</v>
      </c>
      <c r="P34" t="str">
        <f t="shared" si="2"/>
        <v>Rejected</v>
      </c>
      <c r="Q34" t="str">
        <f t="shared" si="3"/>
        <v>Low Risk</v>
      </c>
    </row>
    <row r="35" spans="1:17" x14ac:dyDescent="0.3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  <c r="N35">
        <f t="shared" si="0"/>
        <v>5167</v>
      </c>
      <c r="O35" t="str">
        <f t="shared" si="1"/>
        <v>High</v>
      </c>
      <c r="P35" t="str">
        <f t="shared" si="2"/>
        <v>Approved</v>
      </c>
      <c r="Q35" t="str">
        <f t="shared" si="3"/>
        <v>Low Risk</v>
      </c>
    </row>
    <row r="36" spans="1:17" x14ac:dyDescent="0.3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  <c r="N36">
        <f t="shared" si="0"/>
        <v>15500</v>
      </c>
      <c r="O36" t="str">
        <f t="shared" si="1"/>
        <v>Very High</v>
      </c>
      <c r="P36" t="str">
        <f t="shared" si="2"/>
        <v>Rejected</v>
      </c>
      <c r="Q36" t="str">
        <f t="shared" si="3"/>
        <v>Low Risk</v>
      </c>
    </row>
    <row r="37" spans="1:17" x14ac:dyDescent="0.3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I37">
        <v>128</v>
      </c>
      <c r="J37">
        <v>360</v>
      </c>
      <c r="K37">
        <v>1</v>
      </c>
      <c r="L37" t="s">
        <v>17</v>
      </c>
      <c r="M37" t="s">
        <v>18</v>
      </c>
      <c r="N37">
        <f t="shared" si="0"/>
        <v>4342</v>
      </c>
      <c r="O37" t="str">
        <f t="shared" si="1"/>
        <v>Medium</v>
      </c>
      <c r="P37" t="str">
        <f t="shared" si="2"/>
        <v>Approved</v>
      </c>
      <c r="Q37" t="str">
        <f t="shared" si="3"/>
        <v>Low Risk</v>
      </c>
    </row>
    <row r="38" spans="1:17" x14ac:dyDescent="0.3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J38">
        <v>360</v>
      </c>
      <c r="K38">
        <v>0</v>
      </c>
      <c r="L38" t="s">
        <v>17</v>
      </c>
      <c r="M38" t="s">
        <v>22</v>
      </c>
      <c r="N38">
        <f t="shared" si="0"/>
        <v>3158</v>
      </c>
      <c r="O38" t="str">
        <f t="shared" si="1"/>
        <v>Medium</v>
      </c>
      <c r="P38" t="str">
        <f t="shared" si="2"/>
        <v>Rejected</v>
      </c>
      <c r="Q38" t="str">
        <f t="shared" si="3"/>
        <v>High Risk</v>
      </c>
    </row>
    <row r="39" spans="1:17" x14ac:dyDescent="0.3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  <c r="N39">
        <f t="shared" si="0"/>
        <v>5126</v>
      </c>
      <c r="O39" t="str">
        <f t="shared" si="1"/>
        <v>High</v>
      </c>
      <c r="P39" t="str">
        <f t="shared" si="2"/>
        <v>Approved</v>
      </c>
      <c r="Q39" t="str">
        <f t="shared" si="3"/>
        <v>Low Risk</v>
      </c>
    </row>
    <row r="40" spans="1:17" x14ac:dyDescent="0.3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  <c r="N40">
        <f t="shared" si="0"/>
        <v>11376</v>
      </c>
      <c r="O40" t="str">
        <f t="shared" si="1"/>
        <v>Very High</v>
      </c>
      <c r="P40" t="str">
        <f t="shared" si="2"/>
        <v>Approved</v>
      </c>
      <c r="Q40" t="str">
        <f t="shared" si="3"/>
        <v>Low Risk</v>
      </c>
    </row>
    <row r="41" spans="1:17" x14ac:dyDescent="0.3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  <c r="N41">
        <f t="shared" si="0"/>
        <v>5416</v>
      </c>
      <c r="O41" t="str">
        <f t="shared" si="1"/>
        <v>High</v>
      </c>
      <c r="P41" t="str">
        <f t="shared" si="2"/>
        <v>Approved</v>
      </c>
      <c r="Q41" t="str">
        <f t="shared" si="3"/>
        <v>Low Risk</v>
      </c>
    </row>
    <row r="42" spans="1:17" x14ac:dyDescent="0.3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  <c r="N42">
        <f t="shared" si="0"/>
        <v>3600</v>
      </c>
      <c r="O42" t="str">
        <f t="shared" si="1"/>
        <v>Medium</v>
      </c>
      <c r="P42" t="str">
        <f t="shared" si="2"/>
        <v>Rejected</v>
      </c>
      <c r="Q42" t="str">
        <f t="shared" si="3"/>
        <v>Low Risk</v>
      </c>
    </row>
    <row r="43" spans="1:17" x14ac:dyDescent="0.3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  <c r="N43">
        <f t="shared" si="0"/>
        <v>3013</v>
      </c>
      <c r="O43" t="str">
        <f t="shared" si="1"/>
        <v>Medium</v>
      </c>
      <c r="P43" t="str">
        <f t="shared" si="2"/>
        <v>Approved</v>
      </c>
      <c r="Q43" t="str">
        <f t="shared" si="3"/>
        <v>Low Risk</v>
      </c>
    </row>
    <row r="44" spans="1:17" x14ac:dyDescent="0.3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K44">
        <v>1</v>
      </c>
      <c r="L44" t="s">
        <v>17</v>
      </c>
      <c r="M44" t="s">
        <v>18</v>
      </c>
      <c r="N44">
        <f t="shared" si="0"/>
        <v>2400</v>
      </c>
      <c r="O44" t="str">
        <f t="shared" si="1"/>
        <v>Low</v>
      </c>
      <c r="P44" t="str">
        <f t="shared" si="2"/>
        <v>Approved</v>
      </c>
      <c r="Q44" t="str">
        <f t="shared" si="3"/>
        <v>Low Risk</v>
      </c>
    </row>
    <row r="45" spans="1:17" x14ac:dyDescent="0.3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  <c r="N45">
        <f t="shared" si="0"/>
        <v>6277</v>
      </c>
      <c r="O45" t="str">
        <f t="shared" si="1"/>
        <v>High</v>
      </c>
      <c r="P45" t="str">
        <f t="shared" si="2"/>
        <v>Approved</v>
      </c>
      <c r="Q45" t="str">
        <f t="shared" si="3"/>
        <v>Low Risk</v>
      </c>
    </row>
    <row r="46" spans="1:17" x14ac:dyDescent="0.3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J46">
        <v>360</v>
      </c>
      <c r="K46">
        <v>1</v>
      </c>
      <c r="L46" t="s">
        <v>17</v>
      </c>
      <c r="M46" t="s">
        <v>18</v>
      </c>
      <c r="N46">
        <f t="shared" si="0"/>
        <v>4695</v>
      </c>
      <c r="O46" t="str">
        <f t="shared" si="1"/>
        <v>Medium</v>
      </c>
      <c r="P46" t="str">
        <f t="shared" si="2"/>
        <v>Approved</v>
      </c>
      <c r="Q46" t="str">
        <f t="shared" si="3"/>
        <v>Low Risk</v>
      </c>
    </row>
    <row r="47" spans="1:17" x14ac:dyDescent="0.3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J47">
        <v>360</v>
      </c>
      <c r="K47">
        <v>1</v>
      </c>
      <c r="L47" t="s">
        <v>17</v>
      </c>
      <c r="M47" t="s">
        <v>18</v>
      </c>
      <c r="N47">
        <f t="shared" si="0"/>
        <v>3410</v>
      </c>
      <c r="O47" t="str">
        <f t="shared" si="1"/>
        <v>Medium</v>
      </c>
      <c r="P47" t="str">
        <f t="shared" si="2"/>
        <v>Approved</v>
      </c>
      <c r="Q47" t="str">
        <f t="shared" si="3"/>
        <v>Low Risk</v>
      </c>
    </row>
    <row r="48" spans="1:17" x14ac:dyDescent="0.3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  <c r="N48">
        <f t="shared" si="0"/>
        <v>5649</v>
      </c>
      <c r="O48" t="str">
        <f t="shared" si="1"/>
        <v>High</v>
      </c>
      <c r="P48" t="str">
        <f t="shared" si="2"/>
        <v>Approved</v>
      </c>
      <c r="Q48" t="str">
        <f t="shared" si="3"/>
        <v>Low Risk</v>
      </c>
    </row>
    <row r="49" spans="1:17" x14ac:dyDescent="0.3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  <c r="N49">
        <f t="shared" si="0"/>
        <v>5821</v>
      </c>
      <c r="O49" t="str">
        <f t="shared" si="1"/>
        <v>High</v>
      </c>
      <c r="P49" t="str">
        <f t="shared" si="2"/>
        <v>Approved</v>
      </c>
      <c r="Q49" t="str">
        <f t="shared" si="3"/>
        <v>Low Risk</v>
      </c>
    </row>
    <row r="50" spans="1:17" x14ac:dyDescent="0.3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  <c r="N50">
        <f t="shared" si="0"/>
        <v>6085</v>
      </c>
      <c r="O50" t="str">
        <f t="shared" si="1"/>
        <v>High</v>
      </c>
      <c r="P50" t="str">
        <f t="shared" si="2"/>
        <v>Rejected</v>
      </c>
      <c r="Q50" t="str">
        <f t="shared" si="3"/>
        <v>High Risk</v>
      </c>
    </row>
    <row r="51" spans="1:17" x14ac:dyDescent="0.3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  <c r="N51">
        <f t="shared" si="0"/>
        <v>6275</v>
      </c>
      <c r="O51" t="str">
        <f t="shared" si="1"/>
        <v>High</v>
      </c>
      <c r="P51" t="str">
        <f t="shared" si="2"/>
        <v>Approved</v>
      </c>
      <c r="Q51" t="str">
        <f t="shared" si="3"/>
        <v>Low Risk</v>
      </c>
    </row>
    <row r="52" spans="1:17" x14ac:dyDescent="0.3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  <c r="N52">
        <f t="shared" si="0"/>
        <v>3572</v>
      </c>
      <c r="O52" t="str">
        <f t="shared" si="1"/>
        <v>Medium</v>
      </c>
      <c r="P52" t="str">
        <f t="shared" si="2"/>
        <v>Approved</v>
      </c>
      <c r="Q52" t="str">
        <f t="shared" si="3"/>
        <v>Low Risk</v>
      </c>
    </row>
    <row r="53" spans="1:17" x14ac:dyDescent="0.3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  <c r="N53">
        <f t="shared" si="0"/>
        <v>3086</v>
      </c>
      <c r="O53" t="str">
        <f t="shared" si="1"/>
        <v>Medium</v>
      </c>
      <c r="P53" t="str">
        <f t="shared" si="2"/>
        <v>Approved</v>
      </c>
      <c r="Q53" t="str">
        <f t="shared" si="3"/>
        <v>Low Risk</v>
      </c>
    </row>
    <row r="54" spans="1:17" x14ac:dyDescent="0.3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  <c r="N54">
        <f t="shared" si="0"/>
        <v>4230</v>
      </c>
      <c r="O54" t="str">
        <f t="shared" si="1"/>
        <v>Medium</v>
      </c>
      <c r="P54" t="str">
        <f t="shared" si="2"/>
        <v>Rejected</v>
      </c>
      <c r="Q54" t="str">
        <f t="shared" si="3"/>
        <v>Low Risk</v>
      </c>
    </row>
    <row r="55" spans="1:17" x14ac:dyDescent="0.3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  <c r="N55">
        <f t="shared" si="0"/>
        <v>4616</v>
      </c>
      <c r="O55" t="str">
        <f t="shared" si="1"/>
        <v>Medium</v>
      </c>
      <c r="P55" t="str">
        <f t="shared" si="2"/>
        <v>Rejected</v>
      </c>
      <c r="Q55" t="str">
        <f t="shared" si="3"/>
        <v>Low Risk</v>
      </c>
    </row>
    <row r="56" spans="1:17" x14ac:dyDescent="0.3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  <c r="N56">
        <f t="shared" si="0"/>
        <v>11500</v>
      </c>
      <c r="O56" t="str">
        <f t="shared" si="1"/>
        <v>Very High</v>
      </c>
      <c r="P56" t="str">
        <f t="shared" si="2"/>
        <v>Rejected</v>
      </c>
      <c r="Q56" t="str">
        <f t="shared" si="3"/>
        <v>High Risk</v>
      </c>
    </row>
    <row r="57" spans="1:17" x14ac:dyDescent="0.3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  <c r="N57">
        <f t="shared" si="0"/>
        <v>3875</v>
      </c>
      <c r="O57" t="str">
        <f t="shared" si="1"/>
        <v>Medium</v>
      </c>
      <c r="P57" t="str">
        <f t="shared" si="2"/>
        <v>Approved</v>
      </c>
      <c r="Q57" t="str">
        <f t="shared" si="3"/>
        <v>Low Risk</v>
      </c>
    </row>
    <row r="58" spans="1:17" x14ac:dyDescent="0.3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  <c r="N58">
        <f t="shared" si="0"/>
        <v>3723</v>
      </c>
      <c r="O58" t="str">
        <f t="shared" si="1"/>
        <v>Medium</v>
      </c>
      <c r="P58" t="str">
        <f t="shared" si="2"/>
        <v>Approved</v>
      </c>
      <c r="Q58" t="str">
        <f t="shared" si="3"/>
        <v>Low Risk</v>
      </c>
    </row>
    <row r="59" spans="1:17" x14ac:dyDescent="0.3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  <c r="N59">
        <f t="shared" si="0"/>
        <v>5566</v>
      </c>
      <c r="O59" t="str">
        <f t="shared" si="1"/>
        <v>High</v>
      </c>
      <c r="P59" t="str">
        <f t="shared" si="2"/>
        <v>Rejected</v>
      </c>
      <c r="Q59" t="str">
        <f t="shared" si="3"/>
        <v>Low Risk</v>
      </c>
    </row>
    <row r="60" spans="1:17" x14ac:dyDescent="0.3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  <c r="N60">
        <f t="shared" si="0"/>
        <v>10330</v>
      </c>
      <c r="O60" t="str">
        <f t="shared" si="1"/>
        <v>Very High</v>
      </c>
      <c r="P60" t="str">
        <f t="shared" si="2"/>
        <v>Approved</v>
      </c>
      <c r="Q60" t="str">
        <f t="shared" si="3"/>
        <v>Low Risk</v>
      </c>
    </row>
    <row r="61" spans="1:17" x14ac:dyDescent="0.3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  <c r="N61">
        <f t="shared" si="0"/>
        <v>6216</v>
      </c>
      <c r="O61" t="str">
        <f t="shared" si="1"/>
        <v>High</v>
      </c>
      <c r="P61" t="str">
        <f t="shared" si="2"/>
        <v>Approved</v>
      </c>
      <c r="Q61" t="str">
        <f t="shared" si="3"/>
        <v>Low Risk</v>
      </c>
    </row>
    <row r="62" spans="1:17" x14ac:dyDescent="0.3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  <c r="N62">
        <f t="shared" si="0"/>
        <v>6296</v>
      </c>
      <c r="O62" t="str">
        <f t="shared" si="1"/>
        <v>High</v>
      </c>
      <c r="P62" t="str">
        <f t="shared" si="2"/>
        <v>Approved</v>
      </c>
      <c r="Q62" t="str">
        <f t="shared" si="3"/>
        <v>Low Risk</v>
      </c>
    </row>
    <row r="63" spans="1:17" x14ac:dyDescent="0.3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  <c r="N63">
        <f t="shared" si="0"/>
        <v>3029</v>
      </c>
      <c r="O63" t="str">
        <f t="shared" si="1"/>
        <v>Medium</v>
      </c>
      <c r="P63" t="str">
        <f t="shared" si="2"/>
        <v>Approved</v>
      </c>
      <c r="Q63" t="str">
        <f t="shared" si="3"/>
        <v>Low Risk</v>
      </c>
    </row>
    <row r="64" spans="1:17" x14ac:dyDescent="0.3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  <c r="N64">
        <f t="shared" si="0"/>
        <v>6058</v>
      </c>
      <c r="O64" t="str">
        <f t="shared" si="1"/>
        <v>High</v>
      </c>
      <c r="P64" t="str">
        <f t="shared" si="2"/>
        <v>Rejected</v>
      </c>
      <c r="Q64" t="str">
        <f t="shared" si="3"/>
        <v>High Risk</v>
      </c>
    </row>
    <row r="65" spans="1:17" x14ac:dyDescent="0.3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I65">
        <v>128</v>
      </c>
      <c r="J65">
        <v>360</v>
      </c>
      <c r="K65">
        <v>0</v>
      </c>
      <c r="L65" t="s">
        <v>21</v>
      </c>
      <c r="M65" t="s">
        <v>22</v>
      </c>
      <c r="N65">
        <f t="shared" si="0"/>
        <v>4945</v>
      </c>
      <c r="O65" t="str">
        <f t="shared" si="1"/>
        <v>Medium</v>
      </c>
      <c r="P65" t="str">
        <f t="shared" si="2"/>
        <v>Rejected</v>
      </c>
      <c r="Q65" t="str">
        <f t="shared" si="3"/>
        <v>High Risk</v>
      </c>
    </row>
    <row r="66" spans="1:17" x14ac:dyDescent="0.3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  <c r="N66">
        <f t="shared" si="0"/>
        <v>4166</v>
      </c>
      <c r="O66" t="str">
        <f t="shared" si="1"/>
        <v>Medium</v>
      </c>
      <c r="P66" t="str">
        <f t="shared" si="2"/>
        <v>Rejected</v>
      </c>
      <c r="Q66" t="str">
        <f t="shared" si="3"/>
        <v>High Risk</v>
      </c>
    </row>
    <row r="67" spans="1:17" x14ac:dyDescent="0.3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  <c r="N67">
        <f t="shared" ref="N67:N130" si="4">G67+H67</f>
        <v>10321</v>
      </c>
      <c r="O67" t="str">
        <f t="shared" ref="O67:O130" si="5">IF(N67&lt;2500,"Low",IF(N67&lt;5000,"Medium",IF(N67&lt;10000,"High","Very High")))</f>
        <v>Very High</v>
      </c>
      <c r="P67" t="str">
        <f t="shared" ref="P67:P130" si="6">IF(M67="Y","Approved","Rejected")</f>
        <v>Rejected</v>
      </c>
      <c r="Q67" t="str">
        <f t="shared" ref="Q67:Q130" si="7">IF(K67=1,"Low Risk","High Risk")</f>
        <v>Low Risk</v>
      </c>
    </row>
    <row r="68" spans="1:17" x14ac:dyDescent="0.3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  <c r="N68">
        <f t="shared" si="4"/>
        <v>5454</v>
      </c>
      <c r="O68" t="str">
        <f t="shared" si="5"/>
        <v>High</v>
      </c>
      <c r="P68" t="str">
        <f t="shared" si="6"/>
        <v>Rejected</v>
      </c>
      <c r="Q68" t="str">
        <f t="shared" si="7"/>
        <v>High Risk</v>
      </c>
    </row>
    <row r="69" spans="1:17" x14ac:dyDescent="0.3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  <c r="N69">
        <f t="shared" si="4"/>
        <v>10750</v>
      </c>
      <c r="O69" t="str">
        <f t="shared" si="5"/>
        <v>Very High</v>
      </c>
      <c r="P69" t="str">
        <f t="shared" si="6"/>
        <v>Approved</v>
      </c>
      <c r="Q69" t="str">
        <f t="shared" si="7"/>
        <v>Low Risk</v>
      </c>
    </row>
    <row r="70" spans="1:17" x14ac:dyDescent="0.3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  <c r="N70">
        <f t="shared" si="4"/>
        <v>7100</v>
      </c>
      <c r="O70" t="str">
        <f t="shared" si="5"/>
        <v>High</v>
      </c>
      <c r="P70" t="str">
        <f t="shared" si="6"/>
        <v>Approved</v>
      </c>
      <c r="Q70" t="str">
        <f t="shared" si="7"/>
        <v>Low Risk</v>
      </c>
    </row>
    <row r="71" spans="1:17" x14ac:dyDescent="0.3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  <c r="N71">
        <f t="shared" si="4"/>
        <v>4300</v>
      </c>
      <c r="O71" t="str">
        <f t="shared" si="5"/>
        <v>Medium</v>
      </c>
      <c r="P71" t="str">
        <f t="shared" si="6"/>
        <v>Rejected</v>
      </c>
      <c r="Q71" t="str">
        <f t="shared" si="7"/>
        <v>High Risk</v>
      </c>
    </row>
    <row r="72" spans="1:17" x14ac:dyDescent="0.3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  <c r="N72">
        <f t="shared" si="4"/>
        <v>6274</v>
      </c>
      <c r="O72" t="str">
        <f t="shared" si="5"/>
        <v>High</v>
      </c>
      <c r="P72" t="str">
        <f t="shared" si="6"/>
        <v>Approved</v>
      </c>
      <c r="Q72" t="str">
        <f t="shared" si="7"/>
        <v>Low Risk</v>
      </c>
    </row>
    <row r="73" spans="1:17" x14ac:dyDescent="0.3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  <c r="N73">
        <f t="shared" si="4"/>
        <v>3750</v>
      </c>
      <c r="O73" t="str">
        <f t="shared" si="5"/>
        <v>Medium</v>
      </c>
      <c r="P73" t="str">
        <f t="shared" si="6"/>
        <v>Approved</v>
      </c>
      <c r="Q73" t="str">
        <f t="shared" si="7"/>
        <v>Low Risk</v>
      </c>
    </row>
    <row r="74" spans="1:17" x14ac:dyDescent="0.3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  <c r="N74">
        <f t="shared" si="4"/>
        <v>3500</v>
      </c>
      <c r="O74" t="str">
        <f t="shared" si="5"/>
        <v>Medium</v>
      </c>
      <c r="P74" t="str">
        <f t="shared" si="6"/>
        <v>Approved</v>
      </c>
      <c r="Q74" t="str">
        <f t="shared" si="7"/>
        <v>Low Risk</v>
      </c>
    </row>
    <row r="75" spans="1:17" x14ac:dyDescent="0.3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J75">
        <v>360</v>
      </c>
      <c r="K75">
        <v>0</v>
      </c>
      <c r="L75" t="s">
        <v>31</v>
      </c>
      <c r="M75" t="s">
        <v>22</v>
      </c>
      <c r="N75">
        <f t="shared" si="4"/>
        <v>4755</v>
      </c>
      <c r="O75" t="str">
        <f t="shared" si="5"/>
        <v>Medium</v>
      </c>
      <c r="P75" t="str">
        <f t="shared" si="6"/>
        <v>Rejected</v>
      </c>
      <c r="Q75" t="str">
        <f t="shared" si="7"/>
        <v>High Risk</v>
      </c>
    </row>
    <row r="76" spans="1:17" x14ac:dyDescent="0.3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  <c r="N76">
        <f t="shared" si="4"/>
        <v>7040</v>
      </c>
      <c r="O76" t="str">
        <f t="shared" si="5"/>
        <v>High</v>
      </c>
      <c r="P76" t="str">
        <f t="shared" si="6"/>
        <v>Approved</v>
      </c>
      <c r="Q76" t="str">
        <f t="shared" si="7"/>
        <v>Low Risk</v>
      </c>
    </row>
    <row r="77" spans="1:17" x14ac:dyDescent="0.3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  <c r="N77">
        <f t="shared" si="4"/>
        <v>3750</v>
      </c>
      <c r="O77" t="str">
        <f t="shared" si="5"/>
        <v>Medium</v>
      </c>
      <c r="P77" t="str">
        <f t="shared" si="6"/>
        <v>Rejected</v>
      </c>
      <c r="Q77" t="str">
        <f t="shared" si="7"/>
        <v>Low Risk</v>
      </c>
    </row>
    <row r="78" spans="1:17" x14ac:dyDescent="0.3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  <c r="N78">
        <f t="shared" si="4"/>
        <v>8500</v>
      </c>
      <c r="O78" t="str">
        <f t="shared" si="5"/>
        <v>High</v>
      </c>
      <c r="P78" t="str">
        <f t="shared" si="6"/>
        <v>Rejected</v>
      </c>
      <c r="Q78" t="str">
        <f t="shared" si="7"/>
        <v>Low Risk</v>
      </c>
    </row>
    <row r="79" spans="1:17" x14ac:dyDescent="0.3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  <c r="N79">
        <f t="shared" si="4"/>
        <v>4022</v>
      </c>
      <c r="O79" t="str">
        <f t="shared" si="5"/>
        <v>Medium</v>
      </c>
      <c r="P79" t="str">
        <f t="shared" si="6"/>
        <v>Rejected</v>
      </c>
      <c r="Q79" t="str">
        <f t="shared" si="7"/>
        <v>Low Risk</v>
      </c>
    </row>
    <row r="80" spans="1:17" x14ac:dyDescent="0.3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  <c r="N80">
        <f t="shared" si="4"/>
        <v>7167</v>
      </c>
      <c r="O80" t="str">
        <f t="shared" si="5"/>
        <v>High</v>
      </c>
      <c r="P80" t="str">
        <f t="shared" si="6"/>
        <v>Rejected</v>
      </c>
      <c r="Q80" t="str">
        <f t="shared" si="7"/>
        <v>High Risk</v>
      </c>
    </row>
    <row r="81" spans="1:17" x14ac:dyDescent="0.3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K81">
        <v>1</v>
      </c>
      <c r="L81" t="s">
        <v>31</v>
      </c>
      <c r="M81" t="s">
        <v>18</v>
      </c>
      <c r="N81">
        <f t="shared" si="4"/>
        <v>5499</v>
      </c>
      <c r="O81" t="str">
        <f t="shared" si="5"/>
        <v>High</v>
      </c>
      <c r="P81" t="str">
        <f t="shared" si="6"/>
        <v>Approved</v>
      </c>
      <c r="Q81" t="str">
        <f t="shared" si="7"/>
        <v>Low Risk</v>
      </c>
    </row>
    <row r="82" spans="1:17" x14ac:dyDescent="0.3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  <c r="N82">
        <f t="shared" si="4"/>
        <v>3846</v>
      </c>
      <c r="O82" t="str">
        <f t="shared" si="5"/>
        <v>Medium</v>
      </c>
      <c r="P82" t="str">
        <f t="shared" si="6"/>
        <v>Approved</v>
      </c>
      <c r="Q82" t="str">
        <f t="shared" si="7"/>
        <v>Low Risk</v>
      </c>
    </row>
    <row r="83" spans="1:17" x14ac:dyDescent="0.3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I83">
        <v>128</v>
      </c>
      <c r="J83">
        <v>360</v>
      </c>
      <c r="K83">
        <v>1</v>
      </c>
      <c r="L83" t="s">
        <v>31</v>
      </c>
      <c r="M83" t="s">
        <v>18</v>
      </c>
      <c r="N83">
        <f t="shared" si="4"/>
        <v>2395</v>
      </c>
      <c r="O83" t="str">
        <f t="shared" si="5"/>
        <v>Low</v>
      </c>
      <c r="P83" t="str">
        <f t="shared" si="6"/>
        <v>Approved</v>
      </c>
      <c r="Q83" t="str">
        <f t="shared" si="7"/>
        <v>Low Risk</v>
      </c>
    </row>
    <row r="84" spans="1:17" x14ac:dyDescent="0.3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  <c r="N84">
        <f t="shared" si="4"/>
        <v>3259</v>
      </c>
      <c r="O84" t="str">
        <f t="shared" si="5"/>
        <v>Medium</v>
      </c>
      <c r="P84" t="str">
        <f t="shared" si="6"/>
        <v>Rejected</v>
      </c>
      <c r="Q84" t="str">
        <f t="shared" si="7"/>
        <v>Low Risk</v>
      </c>
    </row>
    <row r="85" spans="1:17" x14ac:dyDescent="0.3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K85">
        <v>1</v>
      </c>
      <c r="L85" t="s">
        <v>31</v>
      </c>
      <c r="M85" t="s">
        <v>22</v>
      </c>
      <c r="N85">
        <f t="shared" si="4"/>
        <v>8250</v>
      </c>
      <c r="O85" t="str">
        <f t="shared" si="5"/>
        <v>High</v>
      </c>
      <c r="P85" t="str">
        <f t="shared" si="6"/>
        <v>Rejected</v>
      </c>
      <c r="Q85" t="str">
        <f t="shared" si="7"/>
        <v>Low Risk</v>
      </c>
    </row>
    <row r="86" spans="1:17" x14ac:dyDescent="0.3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  <c r="N86">
        <f t="shared" si="4"/>
        <v>3988</v>
      </c>
      <c r="O86" t="str">
        <f t="shared" si="5"/>
        <v>Medium</v>
      </c>
      <c r="P86" t="str">
        <f t="shared" si="6"/>
        <v>Approved</v>
      </c>
      <c r="Q86" t="str">
        <f t="shared" si="7"/>
        <v>Low Risk</v>
      </c>
    </row>
    <row r="87" spans="1:17" x14ac:dyDescent="0.3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  <c r="N87">
        <f t="shared" si="4"/>
        <v>4897</v>
      </c>
      <c r="O87" t="str">
        <f t="shared" si="5"/>
        <v>Medium</v>
      </c>
      <c r="P87" t="str">
        <f t="shared" si="6"/>
        <v>Approved</v>
      </c>
      <c r="Q87" t="str">
        <f t="shared" si="7"/>
        <v>Low Risk</v>
      </c>
    </row>
    <row r="88" spans="1:17" x14ac:dyDescent="0.3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K88">
        <v>1</v>
      </c>
      <c r="L88" t="s">
        <v>31</v>
      </c>
      <c r="M88" t="s">
        <v>18</v>
      </c>
      <c r="N88">
        <f t="shared" si="4"/>
        <v>5333</v>
      </c>
      <c r="O88" t="str">
        <f t="shared" si="5"/>
        <v>High</v>
      </c>
      <c r="P88" t="str">
        <f t="shared" si="6"/>
        <v>Approved</v>
      </c>
      <c r="Q88" t="str">
        <f t="shared" si="7"/>
        <v>Low Risk</v>
      </c>
    </row>
    <row r="89" spans="1:17" x14ac:dyDescent="0.3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  <c r="N89">
        <f t="shared" si="4"/>
        <v>4618</v>
      </c>
      <c r="O89" t="str">
        <f t="shared" si="5"/>
        <v>Medium</v>
      </c>
      <c r="P89" t="str">
        <f t="shared" si="6"/>
        <v>Approved</v>
      </c>
      <c r="Q89" t="str">
        <f t="shared" si="7"/>
        <v>Low Risk</v>
      </c>
    </row>
    <row r="90" spans="1:17" x14ac:dyDescent="0.3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  <c r="N90">
        <f t="shared" si="4"/>
        <v>8566</v>
      </c>
      <c r="O90" t="str">
        <f t="shared" si="5"/>
        <v>High</v>
      </c>
      <c r="P90" t="str">
        <f t="shared" si="6"/>
        <v>Approved</v>
      </c>
      <c r="Q90" t="str">
        <f t="shared" si="7"/>
        <v>Low Risk</v>
      </c>
    </row>
    <row r="91" spans="1:17" x14ac:dyDescent="0.3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  <c r="N91">
        <f t="shared" si="4"/>
        <v>9862</v>
      </c>
      <c r="O91" t="str">
        <f t="shared" si="5"/>
        <v>High</v>
      </c>
      <c r="P91" t="str">
        <f t="shared" si="6"/>
        <v>Approved</v>
      </c>
      <c r="Q91" t="str">
        <f t="shared" si="7"/>
        <v>Low Risk</v>
      </c>
    </row>
    <row r="92" spans="1:17" x14ac:dyDescent="0.3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  <c r="N92">
        <f t="shared" si="4"/>
        <v>5858</v>
      </c>
      <c r="O92" t="str">
        <f t="shared" si="5"/>
        <v>High</v>
      </c>
      <c r="P92" t="str">
        <f t="shared" si="6"/>
        <v>Approved</v>
      </c>
      <c r="Q92" t="str">
        <f t="shared" si="7"/>
        <v>Low Risk</v>
      </c>
    </row>
    <row r="93" spans="1:17" x14ac:dyDescent="0.3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  <c r="N93">
        <f t="shared" si="4"/>
        <v>11904</v>
      </c>
      <c r="O93" t="str">
        <f t="shared" si="5"/>
        <v>Very High</v>
      </c>
      <c r="P93" t="str">
        <f t="shared" si="6"/>
        <v>Approved</v>
      </c>
      <c r="Q93" t="str">
        <f t="shared" si="7"/>
        <v>Low Risk</v>
      </c>
    </row>
    <row r="94" spans="1:17" x14ac:dyDescent="0.3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  <c r="N94">
        <f t="shared" si="4"/>
        <v>5093</v>
      </c>
      <c r="O94" t="str">
        <f t="shared" si="5"/>
        <v>High</v>
      </c>
      <c r="P94" t="str">
        <f t="shared" si="6"/>
        <v>Approved</v>
      </c>
      <c r="Q94" t="str">
        <f t="shared" si="7"/>
        <v>Low Risk</v>
      </c>
    </row>
    <row r="95" spans="1:17" x14ac:dyDescent="0.3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  <c r="N95">
        <f t="shared" si="4"/>
        <v>4133</v>
      </c>
      <c r="O95" t="str">
        <f t="shared" si="5"/>
        <v>Medium</v>
      </c>
      <c r="P95" t="str">
        <f t="shared" si="6"/>
        <v>Approved</v>
      </c>
      <c r="Q95" t="str">
        <f t="shared" si="7"/>
        <v>Low Risk</v>
      </c>
    </row>
    <row r="96" spans="1:17" x14ac:dyDescent="0.3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  <c r="N96">
        <f t="shared" si="4"/>
        <v>3620</v>
      </c>
      <c r="O96" t="str">
        <f t="shared" si="5"/>
        <v>Medium</v>
      </c>
      <c r="P96" t="str">
        <f t="shared" si="6"/>
        <v>Approved</v>
      </c>
      <c r="Q96" t="str">
        <f t="shared" si="7"/>
        <v>Low Risk</v>
      </c>
    </row>
    <row r="97" spans="1:17" x14ac:dyDescent="0.3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I97">
        <v>128</v>
      </c>
      <c r="J97">
        <v>360</v>
      </c>
      <c r="K97">
        <v>1</v>
      </c>
      <c r="L97" t="s">
        <v>17</v>
      </c>
      <c r="M97" t="s">
        <v>22</v>
      </c>
      <c r="N97">
        <f t="shared" si="4"/>
        <v>6782</v>
      </c>
      <c r="O97" t="str">
        <f t="shared" si="5"/>
        <v>High</v>
      </c>
      <c r="P97" t="str">
        <f t="shared" si="6"/>
        <v>Rejected</v>
      </c>
      <c r="Q97" t="str">
        <f t="shared" si="7"/>
        <v>Low Risk</v>
      </c>
    </row>
    <row r="98" spans="1:17" x14ac:dyDescent="0.3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  <c r="N98">
        <f t="shared" si="4"/>
        <v>4786</v>
      </c>
      <c r="O98" t="str">
        <f t="shared" si="5"/>
        <v>Medium</v>
      </c>
      <c r="P98" t="str">
        <f t="shared" si="6"/>
        <v>Approved</v>
      </c>
      <c r="Q98" t="str">
        <f t="shared" si="7"/>
        <v>Low Risk</v>
      </c>
    </row>
    <row r="99" spans="1:17" x14ac:dyDescent="0.3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  <c r="N99">
        <f t="shared" si="4"/>
        <v>2974</v>
      </c>
      <c r="O99" t="str">
        <f t="shared" si="5"/>
        <v>Medium</v>
      </c>
      <c r="P99" t="str">
        <f t="shared" si="6"/>
        <v>Approved</v>
      </c>
      <c r="Q99" t="str">
        <f t="shared" si="7"/>
        <v>Low Risk</v>
      </c>
    </row>
    <row r="100" spans="1:17" x14ac:dyDescent="0.3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  <c r="N100">
        <f t="shared" si="4"/>
        <v>4188</v>
      </c>
      <c r="O100" t="str">
        <f t="shared" si="5"/>
        <v>Medium</v>
      </c>
      <c r="P100" t="str">
        <f t="shared" si="6"/>
        <v>Approved</v>
      </c>
      <c r="Q100" t="str">
        <f t="shared" si="7"/>
        <v>Low Risk</v>
      </c>
    </row>
    <row r="101" spans="1:17" x14ac:dyDescent="0.3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  <c r="N101">
        <f t="shared" si="4"/>
        <v>5300</v>
      </c>
      <c r="O101" t="str">
        <f t="shared" si="5"/>
        <v>High</v>
      </c>
      <c r="P101" t="str">
        <f t="shared" si="6"/>
        <v>Approved</v>
      </c>
      <c r="Q101" t="str">
        <f t="shared" si="7"/>
        <v>Low Risk</v>
      </c>
    </row>
    <row r="102" spans="1:17" x14ac:dyDescent="0.3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  <c r="N102">
        <f t="shared" si="4"/>
        <v>7551</v>
      </c>
      <c r="O102" t="str">
        <f t="shared" si="5"/>
        <v>High</v>
      </c>
      <c r="P102" t="str">
        <f t="shared" si="6"/>
        <v>Approved</v>
      </c>
      <c r="Q102" t="str">
        <f t="shared" si="7"/>
        <v>Low Risk</v>
      </c>
    </row>
    <row r="103" spans="1:17" x14ac:dyDescent="0.3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  <c r="N103">
        <f t="shared" si="4"/>
        <v>8649</v>
      </c>
      <c r="O103" t="str">
        <f t="shared" si="5"/>
        <v>High</v>
      </c>
      <c r="P103" t="str">
        <f t="shared" si="6"/>
        <v>Approved</v>
      </c>
      <c r="Q103" t="str">
        <f t="shared" si="7"/>
        <v>Low Risk</v>
      </c>
    </row>
    <row r="104" spans="1:17" x14ac:dyDescent="0.3">
      <c r="A104" t="s">
        <v>127</v>
      </c>
      <c r="B104" t="s">
        <v>14</v>
      </c>
      <c r="C104" t="s">
        <v>20</v>
      </c>
      <c r="D104">
        <v>0</v>
      </c>
      <c r="E104" t="s">
        <v>16</v>
      </c>
      <c r="F104" t="s">
        <v>15</v>
      </c>
      <c r="G104">
        <v>13650</v>
      </c>
      <c r="H104">
        <v>0</v>
      </c>
      <c r="I104">
        <v>128</v>
      </c>
      <c r="J104">
        <v>360</v>
      </c>
      <c r="K104">
        <v>1</v>
      </c>
      <c r="L104" t="s">
        <v>17</v>
      </c>
      <c r="M104" t="s">
        <v>18</v>
      </c>
      <c r="N104">
        <f t="shared" si="4"/>
        <v>13650</v>
      </c>
      <c r="O104" t="str">
        <f t="shared" si="5"/>
        <v>Very High</v>
      </c>
      <c r="P104" t="str">
        <f t="shared" si="6"/>
        <v>Approved</v>
      </c>
      <c r="Q104" t="str">
        <f t="shared" si="7"/>
        <v>Low Risk</v>
      </c>
    </row>
    <row r="105" spans="1:17" x14ac:dyDescent="0.3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I105">
        <v>128</v>
      </c>
      <c r="J105">
        <v>360</v>
      </c>
      <c r="K105">
        <v>1</v>
      </c>
      <c r="L105" t="s">
        <v>31</v>
      </c>
      <c r="M105" t="s">
        <v>18</v>
      </c>
      <c r="N105">
        <f t="shared" si="4"/>
        <v>8235</v>
      </c>
      <c r="O105" t="str">
        <f t="shared" si="5"/>
        <v>High</v>
      </c>
      <c r="P105" t="str">
        <f t="shared" si="6"/>
        <v>Approved</v>
      </c>
      <c r="Q105" t="str">
        <f t="shared" si="7"/>
        <v>Low Risk</v>
      </c>
    </row>
    <row r="106" spans="1:17" x14ac:dyDescent="0.3">
      <c r="A106" t="s">
        <v>129</v>
      </c>
      <c r="B106" t="s">
        <v>14</v>
      </c>
      <c r="C106" t="s">
        <v>20</v>
      </c>
      <c r="D106">
        <v>0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  <c r="N106">
        <f t="shared" si="4"/>
        <v>4570</v>
      </c>
      <c r="O106" t="str">
        <f t="shared" si="5"/>
        <v>Medium</v>
      </c>
      <c r="P106" t="str">
        <f t="shared" si="6"/>
        <v>Approved</v>
      </c>
      <c r="Q106" t="str">
        <f t="shared" si="7"/>
        <v>Low Risk</v>
      </c>
    </row>
    <row r="107" spans="1:17" x14ac:dyDescent="0.3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  <c r="N107">
        <f t="shared" si="4"/>
        <v>4082</v>
      </c>
      <c r="O107" t="str">
        <f t="shared" si="5"/>
        <v>Medium</v>
      </c>
      <c r="P107" t="str">
        <f t="shared" si="6"/>
        <v>Approved</v>
      </c>
      <c r="Q107" t="str">
        <f t="shared" si="7"/>
        <v>Low Risk</v>
      </c>
    </row>
    <row r="108" spans="1:17" x14ac:dyDescent="0.3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  <c r="N108">
        <f t="shared" si="4"/>
        <v>12543</v>
      </c>
      <c r="O108" t="str">
        <f t="shared" si="5"/>
        <v>Very High</v>
      </c>
      <c r="P108" t="str">
        <f t="shared" si="6"/>
        <v>Approved</v>
      </c>
      <c r="Q108" t="str">
        <f t="shared" si="7"/>
        <v>Low Risk</v>
      </c>
    </row>
    <row r="109" spans="1:17" x14ac:dyDescent="0.3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  <c r="N109">
        <f t="shared" si="4"/>
        <v>7333</v>
      </c>
      <c r="O109" t="str">
        <f t="shared" si="5"/>
        <v>High</v>
      </c>
      <c r="P109" t="str">
        <f t="shared" si="6"/>
        <v>Rejected</v>
      </c>
      <c r="Q109" t="str">
        <f t="shared" si="7"/>
        <v>Low Risk</v>
      </c>
    </row>
    <row r="110" spans="1:17" x14ac:dyDescent="0.3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  <c r="N110">
        <f t="shared" si="4"/>
        <v>7400</v>
      </c>
      <c r="O110" t="str">
        <f t="shared" si="5"/>
        <v>High</v>
      </c>
      <c r="P110" t="str">
        <f t="shared" si="6"/>
        <v>Rejected</v>
      </c>
      <c r="Q110" t="str">
        <f t="shared" si="7"/>
        <v>High Risk</v>
      </c>
    </row>
    <row r="111" spans="1:17" x14ac:dyDescent="0.3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  <c r="N111">
        <f t="shared" si="4"/>
        <v>2825</v>
      </c>
      <c r="O111" t="str">
        <f t="shared" si="5"/>
        <v>Medium</v>
      </c>
      <c r="P111" t="str">
        <f t="shared" si="6"/>
        <v>Approved</v>
      </c>
      <c r="Q111" t="str">
        <f t="shared" si="7"/>
        <v>Low Risk</v>
      </c>
    </row>
    <row r="112" spans="1:17" x14ac:dyDescent="0.3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  <c r="N112">
        <f t="shared" si="4"/>
        <v>5316</v>
      </c>
      <c r="O112" t="str">
        <f t="shared" si="5"/>
        <v>High</v>
      </c>
      <c r="P112" t="str">
        <f t="shared" si="6"/>
        <v>Approved</v>
      </c>
      <c r="Q112" t="str">
        <f t="shared" si="7"/>
        <v>Low Risk</v>
      </c>
    </row>
    <row r="113" spans="1:17" x14ac:dyDescent="0.3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  <c r="N113">
        <f t="shared" si="4"/>
        <v>5262</v>
      </c>
      <c r="O113" t="str">
        <f t="shared" si="5"/>
        <v>High</v>
      </c>
      <c r="P113" t="str">
        <f t="shared" si="6"/>
        <v>Approved</v>
      </c>
      <c r="Q113" t="str">
        <f t="shared" si="7"/>
        <v>Low Risk</v>
      </c>
    </row>
    <row r="114" spans="1:17" x14ac:dyDescent="0.3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J114">
        <v>360</v>
      </c>
      <c r="K114">
        <v>0</v>
      </c>
      <c r="L114" t="s">
        <v>21</v>
      </c>
      <c r="M114" t="s">
        <v>22</v>
      </c>
      <c r="N114">
        <f t="shared" si="4"/>
        <v>7686</v>
      </c>
      <c r="O114" t="str">
        <f t="shared" si="5"/>
        <v>High</v>
      </c>
      <c r="P114" t="str">
        <f t="shared" si="6"/>
        <v>Rejected</v>
      </c>
      <c r="Q114" t="str">
        <f t="shared" si="7"/>
        <v>High Risk</v>
      </c>
    </row>
    <row r="115" spans="1:17" x14ac:dyDescent="0.3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I115">
        <v>128</v>
      </c>
      <c r="J115">
        <v>360</v>
      </c>
      <c r="K115">
        <v>1</v>
      </c>
      <c r="L115" t="s">
        <v>31</v>
      </c>
      <c r="M115" t="s">
        <v>18</v>
      </c>
      <c r="N115">
        <f t="shared" si="4"/>
        <v>7451</v>
      </c>
      <c r="O115" t="str">
        <f t="shared" si="5"/>
        <v>High</v>
      </c>
      <c r="P115" t="str">
        <f t="shared" si="6"/>
        <v>Approved</v>
      </c>
      <c r="Q115" t="str">
        <f t="shared" si="7"/>
        <v>Low Risk</v>
      </c>
    </row>
    <row r="116" spans="1:17" x14ac:dyDescent="0.3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  <c r="N116">
        <f t="shared" si="4"/>
        <v>5050</v>
      </c>
      <c r="O116" t="str">
        <f t="shared" si="5"/>
        <v>High</v>
      </c>
      <c r="P116" t="str">
        <f t="shared" si="6"/>
        <v>Approved</v>
      </c>
      <c r="Q116" t="str">
        <f t="shared" si="7"/>
        <v>Low Risk</v>
      </c>
    </row>
    <row r="117" spans="1:17" x14ac:dyDescent="0.3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  <c r="N117">
        <f t="shared" si="4"/>
        <v>14583</v>
      </c>
      <c r="O117" t="str">
        <f t="shared" si="5"/>
        <v>Very High</v>
      </c>
      <c r="P117" t="str">
        <f t="shared" si="6"/>
        <v>Approved</v>
      </c>
      <c r="Q117" t="str">
        <f t="shared" si="7"/>
        <v>Low Risk</v>
      </c>
    </row>
    <row r="118" spans="1:17" x14ac:dyDescent="0.3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  <c r="N118">
        <f t="shared" si="4"/>
        <v>5450</v>
      </c>
      <c r="O118" t="str">
        <f t="shared" si="5"/>
        <v>High</v>
      </c>
      <c r="P118" t="str">
        <f t="shared" si="6"/>
        <v>Approved</v>
      </c>
      <c r="Q118" t="str">
        <f t="shared" si="7"/>
        <v>Low Risk</v>
      </c>
    </row>
    <row r="119" spans="1:17" x14ac:dyDescent="0.3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K119">
        <v>1</v>
      </c>
      <c r="L119" t="s">
        <v>17</v>
      </c>
      <c r="M119" t="s">
        <v>18</v>
      </c>
      <c r="N119">
        <f t="shared" si="4"/>
        <v>3612</v>
      </c>
      <c r="O119" t="str">
        <f t="shared" si="5"/>
        <v>Medium</v>
      </c>
      <c r="P119" t="str">
        <f t="shared" si="6"/>
        <v>Approved</v>
      </c>
      <c r="Q119" t="str">
        <f t="shared" si="7"/>
        <v>Low Risk</v>
      </c>
    </row>
    <row r="120" spans="1:17" x14ac:dyDescent="0.3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  <c r="N120">
        <f t="shared" si="4"/>
        <v>7710</v>
      </c>
      <c r="O120" t="str">
        <f t="shared" si="5"/>
        <v>High</v>
      </c>
      <c r="P120" t="str">
        <f t="shared" si="6"/>
        <v>Rejected</v>
      </c>
      <c r="Q120" t="str">
        <f t="shared" si="7"/>
        <v>Low Risk</v>
      </c>
    </row>
    <row r="121" spans="1:17" x14ac:dyDescent="0.3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  <c r="N121">
        <f t="shared" si="4"/>
        <v>10408</v>
      </c>
      <c r="O121" t="str">
        <f t="shared" si="5"/>
        <v>Very High</v>
      </c>
      <c r="P121" t="str">
        <f t="shared" si="6"/>
        <v>Approved</v>
      </c>
      <c r="Q121" t="str">
        <f t="shared" si="7"/>
        <v>Low Risk</v>
      </c>
    </row>
    <row r="122" spans="1:17" x14ac:dyDescent="0.3">
      <c r="A122" t="s">
        <v>145</v>
      </c>
      <c r="B122" t="s">
        <v>14</v>
      </c>
      <c r="C122" t="s">
        <v>20</v>
      </c>
      <c r="D122">
        <v>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  <c r="N122">
        <f t="shared" si="4"/>
        <v>8334</v>
      </c>
      <c r="O122" t="str">
        <f t="shared" si="5"/>
        <v>High</v>
      </c>
      <c r="P122" t="str">
        <f t="shared" si="6"/>
        <v>Approved</v>
      </c>
      <c r="Q122" t="str">
        <f t="shared" si="7"/>
        <v>Low Risk</v>
      </c>
    </row>
    <row r="123" spans="1:17" x14ac:dyDescent="0.3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  <c r="N123">
        <f t="shared" si="4"/>
        <v>4166</v>
      </c>
      <c r="O123" t="str">
        <f t="shared" si="5"/>
        <v>Medium</v>
      </c>
      <c r="P123" t="str">
        <f t="shared" si="6"/>
        <v>Approved</v>
      </c>
      <c r="Q123" t="str">
        <f t="shared" si="7"/>
        <v>Low Risk</v>
      </c>
    </row>
    <row r="124" spans="1:17" x14ac:dyDescent="0.3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  <c r="N124">
        <f t="shared" si="4"/>
        <v>11117</v>
      </c>
      <c r="O124" t="str">
        <f t="shared" si="5"/>
        <v>Very High</v>
      </c>
      <c r="P124" t="str">
        <f t="shared" si="6"/>
        <v>Approved</v>
      </c>
      <c r="Q124" t="str">
        <f t="shared" si="7"/>
        <v>High Risk</v>
      </c>
    </row>
    <row r="125" spans="1:17" x14ac:dyDescent="0.3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  <c r="N125">
        <f t="shared" si="4"/>
        <v>2957</v>
      </c>
      <c r="O125" t="str">
        <f t="shared" si="5"/>
        <v>Medium</v>
      </c>
      <c r="P125" t="str">
        <f t="shared" si="6"/>
        <v>Approved</v>
      </c>
      <c r="Q125" t="str">
        <f t="shared" si="7"/>
        <v>Low Risk</v>
      </c>
    </row>
    <row r="126" spans="1:17" x14ac:dyDescent="0.3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  <c r="N126">
        <f t="shared" si="4"/>
        <v>6314</v>
      </c>
      <c r="O126" t="str">
        <f t="shared" si="5"/>
        <v>High</v>
      </c>
      <c r="P126" t="str">
        <f t="shared" si="6"/>
        <v>Approved</v>
      </c>
      <c r="Q126" t="str">
        <f t="shared" si="7"/>
        <v>Low Risk</v>
      </c>
    </row>
    <row r="127" spans="1:17" x14ac:dyDescent="0.3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K127">
        <v>1</v>
      </c>
      <c r="L127" t="s">
        <v>21</v>
      </c>
      <c r="M127" t="s">
        <v>18</v>
      </c>
      <c r="N127">
        <f t="shared" si="4"/>
        <v>3692</v>
      </c>
      <c r="O127" t="str">
        <f t="shared" si="5"/>
        <v>Medium</v>
      </c>
      <c r="P127" t="str">
        <f t="shared" si="6"/>
        <v>Approved</v>
      </c>
      <c r="Q127" t="str">
        <f t="shared" si="7"/>
        <v>Low Risk</v>
      </c>
    </row>
    <row r="128" spans="1:17" x14ac:dyDescent="0.3">
      <c r="A128" t="s">
        <v>151</v>
      </c>
      <c r="B128" t="s">
        <v>14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  <c r="N128">
        <f t="shared" si="4"/>
        <v>23803</v>
      </c>
      <c r="O128" t="str">
        <f t="shared" si="5"/>
        <v>Very High</v>
      </c>
      <c r="P128" t="str">
        <f t="shared" si="6"/>
        <v>Approved</v>
      </c>
      <c r="Q128" t="str">
        <f t="shared" si="7"/>
        <v>Low Risk</v>
      </c>
    </row>
    <row r="129" spans="1:17" x14ac:dyDescent="0.3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I129">
        <v>128</v>
      </c>
      <c r="J129">
        <v>360</v>
      </c>
      <c r="K129">
        <v>1</v>
      </c>
      <c r="L129" t="s">
        <v>21</v>
      </c>
      <c r="M129" t="s">
        <v>18</v>
      </c>
      <c r="N129">
        <f t="shared" si="4"/>
        <v>5505</v>
      </c>
      <c r="O129" t="str">
        <f t="shared" si="5"/>
        <v>High</v>
      </c>
      <c r="P129" t="str">
        <f t="shared" si="6"/>
        <v>Approved</v>
      </c>
      <c r="Q129" t="str">
        <f t="shared" si="7"/>
        <v>Low Risk</v>
      </c>
    </row>
    <row r="130" spans="1:17" x14ac:dyDescent="0.3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  <c r="N130">
        <f t="shared" si="4"/>
        <v>14363</v>
      </c>
      <c r="O130" t="str">
        <f t="shared" si="5"/>
        <v>Very High</v>
      </c>
      <c r="P130" t="str">
        <f t="shared" si="6"/>
        <v>Rejected</v>
      </c>
      <c r="Q130" t="str">
        <f t="shared" si="7"/>
        <v>High Risk</v>
      </c>
    </row>
    <row r="131" spans="1:17" x14ac:dyDescent="0.3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K131">
        <v>1</v>
      </c>
      <c r="L131" t="s">
        <v>21</v>
      </c>
      <c r="M131" t="s">
        <v>22</v>
      </c>
      <c r="N131">
        <f t="shared" ref="N131:N194" si="8">G131+H131</f>
        <v>8649</v>
      </c>
      <c r="O131" t="str">
        <f t="shared" ref="O131:O194" si="9">IF(N131&lt;2500,"Low",IF(N131&lt;5000,"Medium",IF(N131&lt;10000,"High","Very High")))</f>
        <v>High</v>
      </c>
      <c r="P131" t="str">
        <f t="shared" ref="P131:P194" si="10">IF(M131="Y","Approved","Rejected")</f>
        <v>Rejected</v>
      </c>
      <c r="Q131" t="str">
        <f t="shared" ref="Q131:Q194" si="11">IF(K131=1,"Low Risk","High Risk")</f>
        <v>Low Risk</v>
      </c>
    </row>
    <row r="132" spans="1:17" x14ac:dyDescent="0.3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K132">
        <v>1</v>
      </c>
      <c r="L132" t="s">
        <v>17</v>
      </c>
      <c r="M132" t="s">
        <v>18</v>
      </c>
      <c r="N132">
        <f t="shared" si="8"/>
        <v>20166</v>
      </c>
      <c r="O132" t="str">
        <f t="shared" si="9"/>
        <v>Very High</v>
      </c>
      <c r="P132" t="str">
        <f t="shared" si="10"/>
        <v>Approved</v>
      </c>
      <c r="Q132" t="str">
        <f t="shared" si="11"/>
        <v>Low Risk</v>
      </c>
    </row>
    <row r="133" spans="1:17" x14ac:dyDescent="0.3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  <c r="N133">
        <f t="shared" si="8"/>
        <v>3943</v>
      </c>
      <c r="O133" t="str">
        <f t="shared" si="9"/>
        <v>Medium</v>
      </c>
      <c r="P133" t="str">
        <f t="shared" si="10"/>
        <v>Approved</v>
      </c>
      <c r="Q133" t="str">
        <f t="shared" si="11"/>
        <v>Low Risk</v>
      </c>
    </row>
    <row r="134" spans="1:17" x14ac:dyDescent="0.3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  <c r="N134">
        <f t="shared" si="8"/>
        <v>2718</v>
      </c>
      <c r="O134" t="str">
        <f t="shared" si="9"/>
        <v>Medium</v>
      </c>
      <c r="P134" t="str">
        <f t="shared" si="10"/>
        <v>Approved</v>
      </c>
      <c r="Q134" t="str">
        <f t="shared" si="11"/>
        <v>Low Risk</v>
      </c>
    </row>
    <row r="135" spans="1:17" x14ac:dyDescent="0.3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  <c r="N135">
        <f t="shared" si="8"/>
        <v>3459</v>
      </c>
      <c r="O135" t="str">
        <f t="shared" si="9"/>
        <v>Medium</v>
      </c>
      <c r="P135" t="str">
        <f t="shared" si="10"/>
        <v>Approved</v>
      </c>
      <c r="Q135" t="str">
        <f t="shared" si="11"/>
        <v>Low Risk</v>
      </c>
    </row>
    <row r="136" spans="1:17" x14ac:dyDescent="0.3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  <c r="N136">
        <f t="shared" si="8"/>
        <v>4895</v>
      </c>
      <c r="O136" t="str">
        <f t="shared" si="9"/>
        <v>Medium</v>
      </c>
      <c r="P136" t="str">
        <f t="shared" si="10"/>
        <v>Approved</v>
      </c>
      <c r="Q136" t="str">
        <f t="shared" si="11"/>
        <v>Low Risk</v>
      </c>
    </row>
    <row r="137" spans="1:17" x14ac:dyDescent="0.3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  <c r="N137">
        <f t="shared" si="8"/>
        <v>11750</v>
      </c>
      <c r="O137" t="str">
        <f t="shared" si="9"/>
        <v>Very High</v>
      </c>
      <c r="P137" t="str">
        <f t="shared" si="10"/>
        <v>Rejected</v>
      </c>
      <c r="Q137" t="str">
        <f t="shared" si="11"/>
        <v>Low Risk</v>
      </c>
    </row>
    <row r="138" spans="1:17" x14ac:dyDescent="0.3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  <c r="N138">
        <f t="shared" si="8"/>
        <v>4583</v>
      </c>
      <c r="O138" t="str">
        <f t="shared" si="9"/>
        <v>Medium</v>
      </c>
      <c r="P138" t="str">
        <f t="shared" si="10"/>
        <v>Rejected</v>
      </c>
      <c r="Q138" t="str">
        <f t="shared" si="11"/>
        <v>Low Risk</v>
      </c>
    </row>
    <row r="139" spans="1:17" x14ac:dyDescent="0.3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  <c r="N139">
        <f t="shared" si="8"/>
        <v>6816</v>
      </c>
      <c r="O139" t="str">
        <f t="shared" si="9"/>
        <v>High</v>
      </c>
      <c r="P139" t="str">
        <f t="shared" si="10"/>
        <v>Approved</v>
      </c>
      <c r="Q139" t="str">
        <f t="shared" si="11"/>
        <v>Low Risk</v>
      </c>
    </row>
    <row r="140" spans="1:17" x14ac:dyDescent="0.3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  <c r="N140">
        <f t="shared" si="8"/>
        <v>14999</v>
      </c>
      <c r="O140" t="str">
        <f t="shared" si="9"/>
        <v>Very High</v>
      </c>
      <c r="P140" t="str">
        <f t="shared" si="10"/>
        <v>Rejected</v>
      </c>
      <c r="Q140" t="str">
        <f t="shared" si="11"/>
        <v>High Risk</v>
      </c>
    </row>
    <row r="141" spans="1:17" x14ac:dyDescent="0.3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  <c r="N141">
        <f t="shared" si="8"/>
        <v>5630</v>
      </c>
      <c r="O141" t="str">
        <f t="shared" si="9"/>
        <v>High</v>
      </c>
      <c r="P141" t="str">
        <f t="shared" si="10"/>
        <v>Rejected</v>
      </c>
      <c r="Q141" t="str">
        <f t="shared" si="11"/>
        <v>Low Risk</v>
      </c>
    </row>
    <row r="142" spans="1:17" x14ac:dyDescent="0.3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  <c r="N142">
        <f t="shared" si="8"/>
        <v>7125</v>
      </c>
      <c r="O142" t="str">
        <f t="shared" si="9"/>
        <v>High</v>
      </c>
      <c r="P142" t="str">
        <f t="shared" si="10"/>
        <v>Rejected</v>
      </c>
      <c r="Q142" t="str">
        <f t="shared" si="11"/>
        <v>Low Risk</v>
      </c>
    </row>
    <row r="143" spans="1:17" x14ac:dyDescent="0.3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  <c r="N143">
        <f t="shared" si="8"/>
        <v>5417</v>
      </c>
      <c r="O143" t="str">
        <f t="shared" si="9"/>
        <v>High</v>
      </c>
      <c r="P143" t="str">
        <f t="shared" si="10"/>
        <v>Approved</v>
      </c>
      <c r="Q143" t="str">
        <f t="shared" si="11"/>
        <v>Low Risk</v>
      </c>
    </row>
    <row r="144" spans="1:17" x14ac:dyDescent="0.3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  <c r="N144">
        <f t="shared" si="8"/>
        <v>6950</v>
      </c>
      <c r="O144" t="str">
        <f t="shared" si="9"/>
        <v>High</v>
      </c>
      <c r="P144" t="str">
        <f t="shared" si="10"/>
        <v>Approved</v>
      </c>
      <c r="Q144" t="str">
        <f t="shared" si="11"/>
        <v>Low Risk</v>
      </c>
    </row>
    <row r="145" spans="1:17" x14ac:dyDescent="0.3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  <c r="N145">
        <f t="shared" si="8"/>
        <v>4732</v>
      </c>
      <c r="O145" t="str">
        <f t="shared" si="9"/>
        <v>Medium</v>
      </c>
      <c r="P145" t="str">
        <f t="shared" si="10"/>
        <v>Approved</v>
      </c>
      <c r="Q145" t="str">
        <f t="shared" si="11"/>
        <v>Low Risk</v>
      </c>
    </row>
    <row r="146" spans="1:17" x14ac:dyDescent="0.3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  <c r="N146">
        <f t="shared" si="8"/>
        <v>11757</v>
      </c>
      <c r="O146" t="str">
        <f t="shared" si="9"/>
        <v>Very High</v>
      </c>
      <c r="P146" t="str">
        <f t="shared" si="10"/>
        <v>Approved</v>
      </c>
      <c r="Q146" t="str">
        <f t="shared" si="11"/>
        <v>Low Risk</v>
      </c>
    </row>
    <row r="147" spans="1:17" x14ac:dyDescent="0.3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  <c r="N147">
        <f t="shared" si="8"/>
        <v>6816</v>
      </c>
      <c r="O147" t="str">
        <f t="shared" si="9"/>
        <v>High</v>
      </c>
      <c r="P147" t="str">
        <f t="shared" si="10"/>
        <v>Approved</v>
      </c>
      <c r="Q147" t="str">
        <f t="shared" si="11"/>
        <v>Low Risk</v>
      </c>
    </row>
    <row r="148" spans="1:17" x14ac:dyDescent="0.3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  <c r="N148">
        <f t="shared" si="8"/>
        <v>14866</v>
      </c>
      <c r="O148" t="str">
        <f t="shared" si="9"/>
        <v>Very High</v>
      </c>
      <c r="P148" t="str">
        <f t="shared" si="10"/>
        <v>Approved</v>
      </c>
      <c r="Q148" t="str">
        <f t="shared" si="11"/>
        <v>Low Risk</v>
      </c>
    </row>
    <row r="149" spans="1:17" x14ac:dyDescent="0.3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  <c r="N149">
        <f t="shared" si="8"/>
        <v>2963</v>
      </c>
      <c r="O149" t="str">
        <f t="shared" si="9"/>
        <v>Medium</v>
      </c>
      <c r="P149" t="str">
        <f t="shared" si="10"/>
        <v>Approved</v>
      </c>
      <c r="Q149" t="str">
        <f t="shared" si="11"/>
        <v>Low Risk</v>
      </c>
    </row>
    <row r="150" spans="1:17" x14ac:dyDescent="0.3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  <c r="N150">
        <f t="shared" si="8"/>
        <v>11666</v>
      </c>
      <c r="O150" t="str">
        <f t="shared" si="9"/>
        <v>Very High</v>
      </c>
      <c r="P150" t="str">
        <f t="shared" si="10"/>
        <v>Rejected</v>
      </c>
      <c r="Q150" t="str">
        <f t="shared" si="11"/>
        <v>Low Risk</v>
      </c>
    </row>
    <row r="151" spans="1:17" x14ac:dyDescent="0.3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  <c r="N151">
        <f t="shared" si="8"/>
        <v>5690</v>
      </c>
      <c r="O151" t="str">
        <f t="shared" si="9"/>
        <v>High</v>
      </c>
      <c r="P151" t="str">
        <f t="shared" si="10"/>
        <v>Approved</v>
      </c>
      <c r="Q151" t="str">
        <f t="shared" si="11"/>
        <v>Low Risk</v>
      </c>
    </row>
    <row r="152" spans="1:17" x14ac:dyDescent="0.3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  <c r="N152">
        <f t="shared" si="8"/>
        <v>6277</v>
      </c>
      <c r="O152" t="str">
        <f t="shared" si="9"/>
        <v>High</v>
      </c>
      <c r="P152" t="str">
        <f t="shared" si="10"/>
        <v>Rejected</v>
      </c>
      <c r="Q152" t="str">
        <f t="shared" si="11"/>
        <v>High Risk</v>
      </c>
    </row>
    <row r="153" spans="1:17" x14ac:dyDescent="0.3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  <c r="N153">
        <f t="shared" si="8"/>
        <v>6327</v>
      </c>
      <c r="O153" t="str">
        <f t="shared" si="9"/>
        <v>High</v>
      </c>
      <c r="P153" t="str">
        <f t="shared" si="10"/>
        <v>Approved</v>
      </c>
      <c r="Q153" t="str">
        <f t="shared" si="11"/>
        <v>Low Risk</v>
      </c>
    </row>
    <row r="154" spans="1:17" x14ac:dyDescent="0.3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  <c r="N154">
        <f t="shared" si="8"/>
        <v>9166</v>
      </c>
      <c r="O154" t="str">
        <f t="shared" si="9"/>
        <v>High</v>
      </c>
      <c r="P154" t="str">
        <f t="shared" si="10"/>
        <v>Rejected</v>
      </c>
      <c r="Q154" t="str">
        <f t="shared" si="11"/>
        <v>Low Risk</v>
      </c>
    </row>
    <row r="155" spans="1:17" x14ac:dyDescent="0.3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  <c r="N155">
        <f t="shared" si="8"/>
        <v>2281</v>
      </c>
      <c r="O155" t="str">
        <f t="shared" si="9"/>
        <v>Low</v>
      </c>
      <c r="P155" t="str">
        <f t="shared" si="10"/>
        <v>Rejected</v>
      </c>
      <c r="Q155" t="str">
        <f t="shared" si="11"/>
        <v>Low Risk</v>
      </c>
    </row>
    <row r="156" spans="1:17" x14ac:dyDescent="0.3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  <c r="N156">
        <f t="shared" si="8"/>
        <v>3254</v>
      </c>
      <c r="O156" t="str">
        <f t="shared" si="9"/>
        <v>Medium</v>
      </c>
      <c r="P156" t="str">
        <f t="shared" si="10"/>
        <v>Approved</v>
      </c>
      <c r="Q156" t="str">
        <f t="shared" si="11"/>
        <v>Low Risk</v>
      </c>
    </row>
    <row r="157" spans="1:17" x14ac:dyDescent="0.3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  <c r="N157">
        <f t="shared" si="8"/>
        <v>39999</v>
      </c>
      <c r="O157" t="str">
        <f t="shared" si="9"/>
        <v>Very High</v>
      </c>
      <c r="P157" t="str">
        <f t="shared" si="10"/>
        <v>Approved</v>
      </c>
      <c r="Q157" t="str">
        <f t="shared" si="11"/>
        <v>High Risk</v>
      </c>
    </row>
    <row r="158" spans="1:17" x14ac:dyDescent="0.3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K158">
        <v>1</v>
      </c>
      <c r="L158" t="s">
        <v>21</v>
      </c>
      <c r="M158" t="s">
        <v>18</v>
      </c>
      <c r="N158">
        <f t="shared" si="8"/>
        <v>6000</v>
      </c>
      <c r="O158" t="str">
        <f t="shared" si="9"/>
        <v>High</v>
      </c>
      <c r="P158" t="str">
        <f t="shared" si="10"/>
        <v>Approved</v>
      </c>
      <c r="Q158" t="str">
        <f t="shared" si="11"/>
        <v>Low Risk</v>
      </c>
    </row>
    <row r="159" spans="1:17" x14ac:dyDescent="0.3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  <c r="N159">
        <f t="shared" si="8"/>
        <v>9538</v>
      </c>
      <c r="O159" t="str">
        <f t="shared" si="9"/>
        <v>High</v>
      </c>
      <c r="P159" t="str">
        <f t="shared" si="10"/>
        <v>Approved</v>
      </c>
      <c r="Q159" t="str">
        <f t="shared" si="11"/>
        <v>Low Risk</v>
      </c>
    </row>
    <row r="160" spans="1:17" x14ac:dyDescent="0.3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  <c r="N160">
        <f t="shared" si="8"/>
        <v>5063</v>
      </c>
      <c r="O160" t="str">
        <f t="shared" si="9"/>
        <v>High</v>
      </c>
      <c r="P160" t="str">
        <f t="shared" si="10"/>
        <v>Approved</v>
      </c>
      <c r="Q160" t="str">
        <f t="shared" si="11"/>
        <v>Low Risk</v>
      </c>
    </row>
    <row r="161" spans="1:17" x14ac:dyDescent="0.3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  <c r="N161">
        <f t="shared" si="8"/>
        <v>10208</v>
      </c>
      <c r="O161" t="str">
        <f t="shared" si="9"/>
        <v>Very High</v>
      </c>
      <c r="P161" t="str">
        <f t="shared" si="10"/>
        <v>Approved</v>
      </c>
      <c r="Q161" t="str">
        <f t="shared" si="11"/>
        <v>Low Risk</v>
      </c>
    </row>
    <row r="162" spans="1:17" x14ac:dyDescent="0.3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  <c r="N162">
        <f t="shared" si="8"/>
        <v>2904</v>
      </c>
      <c r="O162" t="str">
        <f t="shared" si="9"/>
        <v>Medium</v>
      </c>
      <c r="P162" t="str">
        <f t="shared" si="10"/>
        <v>Approved</v>
      </c>
      <c r="Q162" t="str">
        <f t="shared" si="11"/>
        <v>Low Risk</v>
      </c>
    </row>
    <row r="163" spans="1:17" x14ac:dyDescent="0.3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  <c r="N163">
        <f t="shared" si="8"/>
        <v>7933</v>
      </c>
      <c r="O163" t="str">
        <f t="shared" si="9"/>
        <v>High</v>
      </c>
      <c r="P163" t="str">
        <f t="shared" si="10"/>
        <v>Rejected</v>
      </c>
      <c r="Q163" t="str">
        <f t="shared" si="11"/>
        <v>Low Risk</v>
      </c>
    </row>
    <row r="164" spans="1:17" x14ac:dyDescent="0.3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  <c r="N164">
        <f t="shared" si="8"/>
        <v>4369</v>
      </c>
      <c r="O164" t="str">
        <f t="shared" si="9"/>
        <v>Medium</v>
      </c>
      <c r="P164" t="str">
        <f t="shared" si="10"/>
        <v>Rejected</v>
      </c>
      <c r="Q164" t="str">
        <f t="shared" si="11"/>
        <v>High Risk</v>
      </c>
    </row>
    <row r="165" spans="1:17" x14ac:dyDescent="0.3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  <c r="N165">
        <f t="shared" si="8"/>
        <v>5614</v>
      </c>
      <c r="O165" t="str">
        <f t="shared" si="9"/>
        <v>High</v>
      </c>
      <c r="P165" t="str">
        <f t="shared" si="10"/>
        <v>Approved</v>
      </c>
      <c r="Q165" t="str">
        <f t="shared" si="11"/>
        <v>Low Risk</v>
      </c>
    </row>
    <row r="166" spans="1:17" x14ac:dyDescent="0.3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  <c r="N166">
        <f t="shared" si="8"/>
        <v>9323</v>
      </c>
      <c r="O166" t="str">
        <f t="shared" si="9"/>
        <v>High</v>
      </c>
      <c r="P166" t="str">
        <f t="shared" si="10"/>
        <v>Approved</v>
      </c>
      <c r="Q166" t="str">
        <f t="shared" si="11"/>
        <v>Low Risk</v>
      </c>
    </row>
    <row r="167" spans="1:17" x14ac:dyDescent="0.3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J167">
        <v>360</v>
      </c>
      <c r="K167">
        <v>1</v>
      </c>
      <c r="L167" t="s">
        <v>21</v>
      </c>
      <c r="M167" t="s">
        <v>18</v>
      </c>
      <c r="N167">
        <f t="shared" si="8"/>
        <v>6873</v>
      </c>
      <c r="O167" t="str">
        <f t="shared" si="9"/>
        <v>High</v>
      </c>
      <c r="P167" t="str">
        <f t="shared" si="10"/>
        <v>Approved</v>
      </c>
      <c r="Q167" t="str">
        <f t="shared" si="11"/>
        <v>Low Risk</v>
      </c>
    </row>
    <row r="168" spans="1:17" x14ac:dyDescent="0.3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  <c r="N168">
        <f t="shared" si="8"/>
        <v>4583</v>
      </c>
      <c r="O168" t="str">
        <f t="shared" si="9"/>
        <v>Medium</v>
      </c>
      <c r="P168" t="str">
        <f t="shared" si="10"/>
        <v>Rejected</v>
      </c>
      <c r="Q168" t="str">
        <f t="shared" si="11"/>
        <v>Low Risk</v>
      </c>
    </row>
    <row r="169" spans="1:17" x14ac:dyDescent="0.3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  <c r="N169">
        <f t="shared" si="8"/>
        <v>5772</v>
      </c>
      <c r="O169" t="str">
        <f t="shared" si="9"/>
        <v>High</v>
      </c>
      <c r="P169" t="str">
        <f t="shared" si="10"/>
        <v>Approved</v>
      </c>
      <c r="Q169" t="str">
        <f t="shared" si="11"/>
        <v>Low Risk</v>
      </c>
    </row>
    <row r="170" spans="1:17" x14ac:dyDescent="0.3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  <c r="N170">
        <f t="shared" si="8"/>
        <v>2237</v>
      </c>
      <c r="O170" t="str">
        <f t="shared" si="9"/>
        <v>Low</v>
      </c>
      <c r="P170" t="str">
        <f t="shared" si="10"/>
        <v>Rejected</v>
      </c>
      <c r="Q170" t="str">
        <f t="shared" si="11"/>
        <v>High Risk</v>
      </c>
    </row>
    <row r="171" spans="1:17" x14ac:dyDescent="0.3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  <c r="N171">
        <f t="shared" si="8"/>
        <v>8000</v>
      </c>
      <c r="O171" t="str">
        <f t="shared" si="9"/>
        <v>High</v>
      </c>
      <c r="P171" t="str">
        <f t="shared" si="10"/>
        <v>Approved</v>
      </c>
      <c r="Q171" t="str">
        <f t="shared" si="11"/>
        <v>Low Risk</v>
      </c>
    </row>
    <row r="172" spans="1:17" x14ac:dyDescent="0.3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  <c r="N172">
        <f t="shared" si="8"/>
        <v>3589</v>
      </c>
      <c r="O172" t="str">
        <f t="shared" si="9"/>
        <v>Medium</v>
      </c>
      <c r="P172" t="str">
        <f t="shared" si="10"/>
        <v>Approved</v>
      </c>
      <c r="Q172" t="str">
        <f t="shared" si="11"/>
        <v>Low Risk</v>
      </c>
    </row>
    <row r="173" spans="1:17" x14ac:dyDescent="0.3">
      <c r="A173" t="s">
        <v>196</v>
      </c>
      <c r="B173" t="s">
        <v>14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  <c r="N173">
        <f t="shared" si="8"/>
        <v>51763</v>
      </c>
      <c r="O173" t="str">
        <f t="shared" si="9"/>
        <v>Very High</v>
      </c>
      <c r="P173" t="str">
        <f t="shared" si="10"/>
        <v>Approved</v>
      </c>
      <c r="Q173" t="str">
        <f t="shared" si="11"/>
        <v>Low Risk</v>
      </c>
    </row>
    <row r="174" spans="1:17" x14ac:dyDescent="0.3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  <c r="N174">
        <f t="shared" si="8"/>
        <v>3522</v>
      </c>
      <c r="O174" t="str">
        <f t="shared" si="9"/>
        <v>Medium</v>
      </c>
      <c r="P174" t="str">
        <f t="shared" si="10"/>
        <v>Rejected</v>
      </c>
      <c r="Q174" t="str">
        <f t="shared" si="11"/>
        <v>Low Risk</v>
      </c>
    </row>
    <row r="175" spans="1:17" x14ac:dyDescent="0.3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  <c r="N175">
        <f t="shared" si="8"/>
        <v>11333</v>
      </c>
      <c r="O175" t="str">
        <f t="shared" si="9"/>
        <v>Very High</v>
      </c>
      <c r="P175" t="str">
        <f t="shared" si="10"/>
        <v>Approved</v>
      </c>
      <c r="Q175" t="str">
        <f t="shared" si="11"/>
        <v>Low Risk</v>
      </c>
    </row>
    <row r="176" spans="1:17" x14ac:dyDescent="0.3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  <c r="N176">
        <f t="shared" si="8"/>
        <v>5080</v>
      </c>
      <c r="O176" t="str">
        <f t="shared" si="9"/>
        <v>High</v>
      </c>
      <c r="P176" t="str">
        <f t="shared" si="10"/>
        <v>Rejected</v>
      </c>
      <c r="Q176" t="str">
        <f t="shared" si="11"/>
        <v>Low Risk</v>
      </c>
    </row>
    <row r="177" spans="1:17" x14ac:dyDescent="0.3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  <c r="N177">
        <f t="shared" si="8"/>
        <v>5461</v>
      </c>
      <c r="O177" t="str">
        <f t="shared" si="9"/>
        <v>High</v>
      </c>
      <c r="P177" t="str">
        <f t="shared" si="10"/>
        <v>Approved</v>
      </c>
      <c r="Q177" t="str">
        <f t="shared" si="11"/>
        <v>Low Risk</v>
      </c>
    </row>
    <row r="178" spans="1:17" x14ac:dyDescent="0.3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  <c r="N178">
        <f t="shared" si="8"/>
        <v>3664</v>
      </c>
      <c r="O178" t="str">
        <f t="shared" si="9"/>
        <v>Medium</v>
      </c>
      <c r="P178" t="str">
        <f t="shared" si="10"/>
        <v>Approved</v>
      </c>
      <c r="Q178" t="str">
        <f t="shared" si="11"/>
        <v>Low Risk</v>
      </c>
    </row>
    <row r="179" spans="1:17" x14ac:dyDescent="0.3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  <c r="N179">
        <f t="shared" si="8"/>
        <v>16816</v>
      </c>
      <c r="O179" t="str">
        <f t="shared" si="9"/>
        <v>Very High</v>
      </c>
      <c r="P179" t="str">
        <f t="shared" si="10"/>
        <v>Rejected</v>
      </c>
      <c r="Q179" t="str">
        <f t="shared" si="11"/>
        <v>High Risk</v>
      </c>
    </row>
    <row r="180" spans="1:17" x14ac:dyDescent="0.3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  <c r="N180">
        <f t="shared" si="8"/>
        <v>3750</v>
      </c>
      <c r="O180" t="str">
        <f t="shared" si="9"/>
        <v>Medium</v>
      </c>
      <c r="P180" t="str">
        <f t="shared" si="10"/>
        <v>Approved</v>
      </c>
      <c r="Q180" t="str">
        <f t="shared" si="11"/>
        <v>Low Risk</v>
      </c>
    </row>
    <row r="181" spans="1:17" x14ac:dyDescent="0.3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  <c r="N181">
        <f t="shared" si="8"/>
        <v>3784</v>
      </c>
      <c r="O181" t="str">
        <f t="shared" si="9"/>
        <v>Medium</v>
      </c>
      <c r="P181" t="str">
        <f t="shared" si="10"/>
        <v>Rejected</v>
      </c>
      <c r="Q181" t="str">
        <f t="shared" si="11"/>
        <v>High Risk</v>
      </c>
    </row>
    <row r="182" spans="1:17" x14ac:dyDescent="0.3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  <c r="N182">
        <f t="shared" si="8"/>
        <v>13650</v>
      </c>
      <c r="O182" t="str">
        <f t="shared" si="9"/>
        <v>Very High</v>
      </c>
      <c r="P182" t="str">
        <f t="shared" si="10"/>
        <v>Rejected</v>
      </c>
      <c r="Q182" t="str">
        <f t="shared" si="11"/>
        <v>High Risk</v>
      </c>
    </row>
    <row r="183" spans="1:17" x14ac:dyDescent="0.3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K183">
        <v>1</v>
      </c>
      <c r="L183" t="s">
        <v>21</v>
      </c>
      <c r="M183" t="s">
        <v>22</v>
      </c>
      <c r="N183">
        <f t="shared" si="8"/>
        <v>6979</v>
      </c>
      <c r="O183" t="str">
        <f t="shared" si="9"/>
        <v>High</v>
      </c>
      <c r="P183" t="str">
        <f t="shared" si="10"/>
        <v>Rejected</v>
      </c>
      <c r="Q183" t="str">
        <f t="shared" si="11"/>
        <v>Low Risk</v>
      </c>
    </row>
    <row r="184" spans="1:17" x14ac:dyDescent="0.3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  <c r="N184">
        <f t="shared" si="8"/>
        <v>4600</v>
      </c>
      <c r="O184" t="str">
        <f t="shared" si="9"/>
        <v>Medium</v>
      </c>
      <c r="P184" t="str">
        <f t="shared" si="10"/>
        <v>Approved</v>
      </c>
      <c r="Q184" t="str">
        <f t="shared" si="11"/>
        <v>Low Risk</v>
      </c>
    </row>
    <row r="185" spans="1:17" x14ac:dyDescent="0.3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  <c r="N185">
        <f t="shared" si="8"/>
        <v>33846</v>
      </c>
      <c r="O185" t="str">
        <f t="shared" si="9"/>
        <v>Very High</v>
      </c>
      <c r="P185" t="str">
        <f t="shared" si="10"/>
        <v>Rejected</v>
      </c>
      <c r="Q185" t="str">
        <f t="shared" si="11"/>
        <v>Low Risk</v>
      </c>
    </row>
    <row r="186" spans="1:17" x14ac:dyDescent="0.3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  <c r="N186">
        <f t="shared" si="8"/>
        <v>3625</v>
      </c>
      <c r="O186" t="str">
        <f t="shared" si="9"/>
        <v>Medium</v>
      </c>
      <c r="P186" t="str">
        <f t="shared" si="10"/>
        <v>Approved</v>
      </c>
      <c r="Q186" t="str">
        <f t="shared" si="11"/>
        <v>Low Risk</v>
      </c>
    </row>
    <row r="187" spans="1:17" x14ac:dyDescent="0.3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  <c r="N187">
        <f t="shared" si="8"/>
        <v>43897</v>
      </c>
      <c r="O187" t="str">
        <f t="shared" si="9"/>
        <v>Very High</v>
      </c>
      <c r="P187" t="str">
        <f t="shared" si="10"/>
        <v>Approved</v>
      </c>
      <c r="Q187" t="str">
        <f t="shared" si="11"/>
        <v>Low Risk</v>
      </c>
    </row>
    <row r="188" spans="1:17" x14ac:dyDescent="0.3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  <c r="N188">
        <f t="shared" si="8"/>
        <v>2178</v>
      </c>
      <c r="O188" t="str">
        <f t="shared" si="9"/>
        <v>Low</v>
      </c>
      <c r="P188" t="str">
        <f t="shared" si="10"/>
        <v>Rejected</v>
      </c>
      <c r="Q188" t="str">
        <f t="shared" si="11"/>
        <v>High Risk</v>
      </c>
    </row>
    <row r="189" spans="1:17" x14ac:dyDescent="0.3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K189">
        <v>1</v>
      </c>
      <c r="L189" t="s">
        <v>21</v>
      </c>
      <c r="M189" t="s">
        <v>18</v>
      </c>
      <c r="N189">
        <f t="shared" si="8"/>
        <v>4521</v>
      </c>
      <c r="O189" t="str">
        <f t="shared" si="9"/>
        <v>Medium</v>
      </c>
      <c r="P189" t="str">
        <f t="shared" si="10"/>
        <v>Approved</v>
      </c>
      <c r="Q189" t="str">
        <f t="shared" si="11"/>
        <v>Low Risk</v>
      </c>
    </row>
    <row r="190" spans="1:17" x14ac:dyDescent="0.3">
      <c r="A190" t="s">
        <v>213</v>
      </c>
      <c r="B190" t="s">
        <v>14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  <c r="N190">
        <f t="shared" si="8"/>
        <v>5970</v>
      </c>
      <c r="O190" t="str">
        <f t="shared" si="9"/>
        <v>High</v>
      </c>
      <c r="P190" t="str">
        <f t="shared" si="10"/>
        <v>Approved</v>
      </c>
      <c r="Q190" t="str">
        <f t="shared" si="11"/>
        <v>Low Risk</v>
      </c>
    </row>
    <row r="191" spans="1:17" x14ac:dyDescent="0.3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  <c r="N191">
        <f t="shared" si="8"/>
        <v>9328</v>
      </c>
      <c r="O191" t="str">
        <f t="shared" si="9"/>
        <v>High</v>
      </c>
      <c r="P191" t="str">
        <f t="shared" si="10"/>
        <v>Approved</v>
      </c>
      <c r="Q191" t="str">
        <f t="shared" si="11"/>
        <v>Low Risk</v>
      </c>
    </row>
    <row r="192" spans="1:17" x14ac:dyDescent="0.3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  <c r="N192">
        <f t="shared" si="8"/>
        <v>4885</v>
      </c>
      <c r="O192" t="str">
        <f t="shared" si="9"/>
        <v>Medium</v>
      </c>
      <c r="P192" t="str">
        <f t="shared" si="10"/>
        <v>Approved</v>
      </c>
      <c r="Q192" t="str">
        <f t="shared" si="11"/>
        <v>Low Risk</v>
      </c>
    </row>
    <row r="193" spans="1:17" x14ac:dyDescent="0.3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  <c r="N193">
        <f t="shared" si="8"/>
        <v>12000</v>
      </c>
      <c r="O193" t="str">
        <f t="shared" si="9"/>
        <v>Very High</v>
      </c>
      <c r="P193" t="str">
        <f t="shared" si="10"/>
        <v>Rejected</v>
      </c>
      <c r="Q193" t="str">
        <f t="shared" si="11"/>
        <v>Low Risk</v>
      </c>
    </row>
    <row r="194" spans="1:17" x14ac:dyDescent="0.3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  <c r="N194">
        <f t="shared" si="8"/>
        <v>6033</v>
      </c>
      <c r="O194" t="str">
        <f t="shared" si="9"/>
        <v>High</v>
      </c>
      <c r="P194" t="str">
        <f t="shared" si="10"/>
        <v>Rejected</v>
      </c>
      <c r="Q194" t="str">
        <f t="shared" si="11"/>
        <v>Low Risk</v>
      </c>
    </row>
    <row r="195" spans="1:17" x14ac:dyDescent="0.3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  <c r="N195">
        <f t="shared" ref="N195:N258" si="12">G195+H195</f>
        <v>3858</v>
      </c>
      <c r="O195" t="str">
        <f t="shared" ref="O195:O258" si="13">IF(N195&lt;2500,"Low",IF(N195&lt;5000,"Medium",IF(N195&lt;10000,"High","Very High")))</f>
        <v>Medium</v>
      </c>
      <c r="P195" t="str">
        <f t="shared" ref="P195:P258" si="14">IF(M195="Y","Approved","Rejected")</f>
        <v>Approved</v>
      </c>
      <c r="Q195" t="str">
        <f t="shared" ref="Q195:Q258" si="15">IF(K195=1,"Low Risk","High Risk")</f>
        <v>Low Risk</v>
      </c>
    </row>
    <row r="196" spans="1:17" x14ac:dyDescent="0.3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  <c r="N196">
        <f t="shared" si="12"/>
        <v>4191</v>
      </c>
      <c r="O196" t="str">
        <f t="shared" si="13"/>
        <v>Medium</v>
      </c>
      <c r="P196" t="str">
        <f t="shared" si="14"/>
        <v>Approved</v>
      </c>
      <c r="Q196" t="str">
        <f t="shared" si="15"/>
        <v>Low Risk</v>
      </c>
    </row>
    <row r="197" spans="1:17" x14ac:dyDescent="0.3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  <c r="N197">
        <f t="shared" si="12"/>
        <v>5708</v>
      </c>
      <c r="O197" t="str">
        <f t="shared" si="13"/>
        <v>High</v>
      </c>
      <c r="P197" t="str">
        <f t="shared" si="14"/>
        <v>Rejected</v>
      </c>
      <c r="Q197" t="str">
        <f t="shared" si="15"/>
        <v>Low Risk</v>
      </c>
    </row>
    <row r="198" spans="1:17" x14ac:dyDescent="0.3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  <c r="N198">
        <f t="shared" si="12"/>
        <v>12083</v>
      </c>
      <c r="O198" t="str">
        <f t="shared" si="13"/>
        <v>Very High</v>
      </c>
      <c r="P198" t="str">
        <f t="shared" si="14"/>
        <v>Approved</v>
      </c>
      <c r="Q198" t="str">
        <f t="shared" si="15"/>
        <v>Low Risk</v>
      </c>
    </row>
    <row r="199" spans="1:17" x14ac:dyDescent="0.3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J199">
        <v>360</v>
      </c>
      <c r="K199">
        <v>1</v>
      </c>
      <c r="L199" t="s">
        <v>17</v>
      </c>
      <c r="M199" t="s">
        <v>18</v>
      </c>
      <c r="N199">
        <f t="shared" si="12"/>
        <v>4272</v>
      </c>
      <c r="O199" t="str">
        <f t="shared" si="13"/>
        <v>Medium</v>
      </c>
      <c r="P199" t="str">
        <f t="shared" si="14"/>
        <v>Approved</v>
      </c>
      <c r="Q199" t="str">
        <f t="shared" si="15"/>
        <v>Low Risk</v>
      </c>
    </row>
    <row r="200" spans="1:17" x14ac:dyDescent="0.3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K200">
        <v>1</v>
      </c>
      <c r="L200" t="s">
        <v>31</v>
      </c>
      <c r="M200" t="s">
        <v>18</v>
      </c>
      <c r="N200">
        <f t="shared" si="12"/>
        <v>6232</v>
      </c>
      <c r="O200" t="str">
        <f t="shared" si="13"/>
        <v>High</v>
      </c>
      <c r="P200" t="str">
        <f t="shared" si="14"/>
        <v>Approved</v>
      </c>
      <c r="Q200" t="str">
        <f t="shared" si="15"/>
        <v>Low Risk</v>
      </c>
    </row>
    <row r="201" spans="1:17" x14ac:dyDescent="0.3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  <c r="N201">
        <f t="shared" si="12"/>
        <v>11000</v>
      </c>
      <c r="O201" t="str">
        <f t="shared" si="13"/>
        <v>Very High</v>
      </c>
      <c r="P201" t="str">
        <f t="shared" si="14"/>
        <v>Rejected</v>
      </c>
      <c r="Q201" t="str">
        <f t="shared" si="15"/>
        <v>Low Risk</v>
      </c>
    </row>
    <row r="202" spans="1:17" x14ac:dyDescent="0.3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  <c r="N202">
        <f t="shared" si="12"/>
        <v>5100</v>
      </c>
      <c r="O202" t="str">
        <f t="shared" si="13"/>
        <v>High</v>
      </c>
      <c r="P202" t="str">
        <f t="shared" si="14"/>
        <v>Approved</v>
      </c>
      <c r="Q202" t="str">
        <f t="shared" si="15"/>
        <v>Low Risk</v>
      </c>
    </row>
    <row r="203" spans="1:17" x14ac:dyDescent="0.3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  <c r="N203">
        <f t="shared" si="12"/>
        <v>4923</v>
      </c>
      <c r="O203" t="str">
        <f t="shared" si="13"/>
        <v>Medium</v>
      </c>
      <c r="P203" t="str">
        <f t="shared" si="14"/>
        <v>Approved</v>
      </c>
      <c r="Q203" t="str">
        <f t="shared" si="15"/>
        <v>High Risk</v>
      </c>
    </row>
    <row r="204" spans="1:17" x14ac:dyDescent="0.3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I204">
        <v>128</v>
      </c>
      <c r="J204">
        <v>180</v>
      </c>
      <c r="K204">
        <v>1</v>
      </c>
      <c r="L204" t="s">
        <v>17</v>
      </c>
      <c r="M204" t="s">
        <v>22</v>
      </c>
      <c r="N204">
        <f t="shared" si="12"/>
        <v>3992</v>
      </c>
      <c r="O204" t="str">
        <f t="shared" si="13"/>
        <v>Medium</v>
      </c>
      <c r="P204" t="str">
        <f t="shared" si="14"/>
        <v>Rejected</v>
      </c>
      <c r="Q204" t="str">
        <f t="shared" si="15"/>
        <v>Low Risk</v>
      </c>
    </row>
    <row r="205" spans="1:17" x14ac:dyDescent="0.3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  <c r="N205">
        <f t="shared" si="12"/>
        <v>4583</v>
      </c>
      <c r="O205" t="str">
        <f t="shared" si="13"/>
        <v>Medium</v>
      </c>
      <c r="P205" t="str">
        <f t="shared" si="14"/>
        <v>Approved</v>
      </c>
      <c r="Q205" t="str">
        <f t="shared" si="15"/>
        <v>Low Risk</v>
      </c>
    </row>
    <row r="206" spans="1:17" x14ac:dyDescent="0.3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  <c r="N206">
        <f t="shared" si="12"/>
        <v>3917</v>
      </c>
      <c r="O206" t="str">
        <f t="shared" si="13"/>
        <v>Medium</v>
      </c>
      <c r="P206" t="str">
        <f t="shared" si="14"/>
        <v>Approved</v>
      </c>
      <c r="Q206" t="str">
        <f t="shared" si="15"/>
        <v>Low Risk</v>
      </c>
    </row>
    <row r="207" spans="1:17" x14ac:dyDescent="0.3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  <c r="N207">
        <f t="shared" si="12"/>
        <v>4408</v>
      </c>
      <c r="O207" t="str">
        <f t="shared" si="13"/>
        <v>Medium</v>
      </c>
      <c r="P207" t="str">
        <f t="shared" si="14"/>
        <v>Approved</v>
      </c>
      <c r="Q207" t="str">
        <f t="shared" si="15"/>
        <v>Low Risk</v>
      </c>
    </row>
    <row r="208" spans="1:17" x14ac:dyDescent="0.3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  <c r="N208">
        <f t="shared" si="12"/>
        <v>3244</v>
      </c>
      <c r="O208" t="str">
        <f t="shared" si="13"/>
        <v>Medium</v>
      </c>
      <c r="P208" t="str">
        <f t="shared" si="14"/>
        <v>Approved</v>
      </c>
      <c r="Q208" t="str">
        <f t="shared" si="15"/>
        <v>Low Risk</v>
      </c>
    </row>
    <row r="209" spans="1:17" x14ac:dyDescent="0.3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  <c r="N209">
        <f t="shared" si="12"/>
        <v>6506</v>
      </c>
      <c r="O209" t="str">
        <f t="shared" si="13"/>
        <v>High</v>
      </c>
      <c r="P209" t="str">
        <f t="shared" si="14"/>
        <v>Approved</v>
      </c>
      <c r="Q209" t="str">
        <f t="shared" si="15"/>
        <v>Low Risk</v>
      </c>
    </row>
    <row r="210" spans="1:17" x14ac:dyDescent="0.3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  <c r="N210">
        <f t="shared" si="12"/>
        <v>2479</v>
      </c>
      <c r="O210" t="str">
        <f t="shared" si="13"/>
        <v>Low</v>
      </c>
      <c r="P210" t="str">
        <f t="shared" si="14"/>
        <v>Approved</v>
      </c>
      <c r="Q210" t="str">
        <f t="shared" si="15"/>
        <v>Low Risk</v>
      </c>
    </row>
    <row r="211" spans="1:17" x14ac:dyDescent="0.3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  <c r="N211">
        <f t="shared" si="12"/>
        <v>3418</v>
      </c>
      <c r="O211" t="str">
        <f t="shared" si="13"/>
        <v>Medium</v>
      </c>
      <c r="P211" t="str">
        <f t="shared" si="14"/>
        <v>Rejected</v>
      </c>
      <c r="Q211" t="str">
        <f t="shared" si="15"/>
        <v>Low Risk</v>
      </c>
    </row>
    <row r="212" spans="1:17" x14ac:dyDescent="0.3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  <c r="N212">
        <f t="shared" si="12"/>
        <v>10000</v>
      </c>
      <c r="O212" t="str">
        <f t="shared" si="13"/>
        <v>Very High</v>
      </c>
      <c r="P212" t="str">
        <f t="shared" si="14"/>
        <v>Rejected</v>
      </c>
      <c r="Q212" t="str">
        <f t="shared" si="15"/>
        <v>Low Risk</v>
      </c>
    </row>
    <row r="213" spans="1:17" x14ac:dyDescent="0.3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  <c r="N213">
        <f t="shared" si="12"/>
        <v>4680</v>
      </c>
      <c r="O213" t="str">
        <f t="shared" si="13"/>
        <v>Medium</v>
      </c>
      <c r="P213" t="str">
        <f t="shared" si="14"/>
        <v>Rejected</v>
      </c>
      <c r="Q213" t="str">
        <f t="shared" si="15"/>
        <v>High Risk</v>
      </c>
    </row>
    <row r="214" spans="1:17" x14ac:dyDescent="0.3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  <c r="N214">
        <f t="shared" si="12"/>
        <v>7787</v>
      </c>
      <c r="O214" t="str">
        <f t="shared" si="13"/>
        <v>High</v>
      </c>
      <c r="P214" t="str">
        <f t="shared" si="14"/>
        <v>Approved</v>
      </c>
      <c r="Q214" t="str">
        <f t="shared" si="15"/>
        <v>Low Risk</v>
      </c>
    </row>
    <row r="215" spans="1:17" x14ac:dyDescent="0.3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  <c r="N215">
        <f t="shared" si="12"/>
        <v>5703</v>
      </c>
      <c r="O215" t="str">
        <f t="shared" si="13"/>
        <v>High</v>
      </c>
      <c r="P215" t="str">
        <f t="shared" si="14"/>
        <v>Approved</v>
      </c>
      <c r="Q215" t="str">
        <f t="shared" si="15"/>
        <v>Low Risk</v>
      </c>
    </row>
    <row r="216" spans="1:17" x14ac:dyDescent="0.3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  <c r="N216">
        <f t="shared" si="12"/>
        <v>6194</v>
      </c>
      <c r="O216" t="str">
        <f t="shared" si="13"/>
        <v>High</v>
      </c>
      <c r="P216" t="str">
        <f t="shared" si="14"/>
        <v>Approved</v>
      </c>
      <c r="Q216" t="str">
        <f t="shared" si="15"/>
        <v>Low Risk</v>
      </c>
    </row>
    <row r="217" spans="1:17" x14ac:dyDescent="0.3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  <c r="N217">
        <f t="shared" si="12"/>
        <v>4833</v>
      </c>
      <c r="O217" t="str">
        <f t="shared" si="13"/>
        <v>Medium</v>
      </c>
      <c r="P217" t="str">
        <f t="shared" si="14"/>
        <v>Approved</v>
      </c>
      <c r="Q217" t="str">
        <f t="shared" si="15"/>
        <v>Low Risk</v>
      </c>
    </row>
    <row r="218" spans="1:17" x14ac:dyDescent="0.3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  <c r="N218">
        <f t="shared" si="12"/>
        <v>1950</v>
      </c>
      <c r="O218" t="str">
        <f t="shared" si="13"/>
        <v>Low</v>
      </c>
      <c r="P218" t="str">
        <f t="shared" si="14"/>
        <v>Rejected</v>
      </c>
      <c r="Q218" t="str">
        <f t="shared" si="15"/>
        <v>Low Risk</v>
      </c>
    </row>
    <row r="219" spans="1:17" x14ac:dyDescent="0.3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  <c r="N219">
        <f t="shared" si="12"/>
        <v>5502</v>
      </c>
      <c r="O219" t="str">
        <f t="shared" si="13"/>
        <v>High</v>
      </c>
      <c r="P219" t="str">
        <f t="shared" si="14"/>
        <v>Approved</v>
      </c>
      <c r="Q219" t="str">
        <f t="shared" si="15"/>
        <v>Low Risk</v>
      </c>
    </row>
    <row r="220" spans="1:17" x14ac:dyDescent="0.3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  <c r="N220">
        <f t="shared" si="12"/>
        <v>5000</v>
      </c>
      <c r="O220" t="str">
        <f t="shared" si="13"/>
        <v>High</v>
      </c>
      <c r="P220" t="str">
        <f t="shared" si="14"/>
        <v>Rejected</v>
      </c>
      <c r="Q220" t="str">
        <f t="shared" si="15"/>
        <v>High Risk</v>
      </c>
    </row>
    <row r="221" spans="1:17" x14ac:dyDescent="0.3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K221">
        <v>1</v>
      </c>
      <c r="L221" t="s">
        <v>31</v>
      </c>
      <c r="M221" t="s">
        <v>18</v>
      </c>
      <c r="N221">
        <f t="shared" si="12"/>
        <v>6666</v>
      </c>
      <c r="O221" t="str">
        <f t="shared" si="13"/>
        <v>High</v>
      </c>
      <c r="P221" t="str">
        <f t="shared" si="14"/>
        <v>Approved</v>
      </c>
      <c r="Q221" t="str">
        <f t="shared" si="15"/>
        <v>Low Risk</v>
      </c>
    </row>
    <row r="222" spans="1:17" x14ac:dyDescent="0.3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  <c r="N222">
        <f t="shared" si="12"/>
        <v>2221</v>
      </c>
      <c r="O222" t="str">
        <f t="shared" si="13"/>
        <v>Low</v>
      </c>
      <c r="P222" t="str">
        <f t="shared" si="14"/>
        <v>Rejected</v>
      </c>
      <c r="Q222" t="str">
        <f t="shared" si="15"/>
        <v>High Risk</v>
      </c>
    </row>
    <row r="223" spans="1:17" x14ac:dyDescent="0.3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  <c r="N223">
        <f t="shared" si="12"/>
        <v>5726</v>
      </c>
      <c r="O223" t="str">
        <f t="shared" si="13"/>
        <v>High</v>
      </c>
      <c r="P223" t="str">
        <f t="shared" si="14"/>
        <v>Approved</v>
      </c>
      <c r="Q223" t="str">
        <f t="shared" si="15"/>
        <v>Low Risk</v>
      </c>
    </row>
    <row r="224" spans="1:17" x14ac:dyDescent="0.3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  <c r="N224">
        <f t="shared" si="12"/>
        <v>5762</v>
      </c>
      <c r="O224" t="str">
        <f t="shared" si="13"/>
        <v>High</v>
      </c>
      <c r="P224" t="str">
        <f t="shared" si="14"/>
        <v>Approved</v>
      </c>
      <c r="Q224" t="str">
        <f t="shared" si="15"/>
        <v>Low Risk</v>
      </c>
    </row>
    <row r="225" spans="1:17" x14ac:dyDescent="0.3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J225">
        <v>360</v>
      </c>
      <c r="K225">
        <v>1</v>
      </c>
      <c r="L225" t="s">
        <v>31</v>
      </c>
      <c r="M225" t="s">
        <v>18</v>
      </c>
      <c r="N225">
        <f t="shared" si="12"/>
        <v>8588</v>
      </c>
      <c r="O225" t="str">
        <f t="shared" si="13"/>
        <v>High</v>
      </c>
      <c r="P225" t="str">
        <f t="shared" si="14"/>
        <v>Approved</v>
      </c>
      <c r="Q225" t="str">
        <f t="shared" si="15"/>
        <v>Low Risk</v>
      </c>
    </row>
    <row r="226" spans="1:17" x14ac:dyDescent="0.3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  <c r="N226">
        <f t="shared" si="12"/>
        <v>6250</v>
      </c>
      <c r="O226" t="str">
        <f t="shared" si="13"/>
        <v>High</v>
      </c>
      <c r="P226" t="str">
        <f t="shared" si="14"/>
        <v>Approved</v>
      </c>
      <c r="Q226" t="str">
        <f t="shared" si="15"/>
        <v>Low Risk</v>
      </c>
    </row>
    <row r="227" spans="1:17" x14ac:dyDescent="0.3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  <c r="N227">
        <f t="shared" si="12"/>
        <v>3250</v>
      </c>
      <c r="O227" t="str">
        <f t="shared" si="13"/>
        <v>Medium</v>
      </c>
      <c r="P227" t="str">
        <f t="shared" si="14"/>
        <v>Rejected</v>
      </c>
      <c r="Q227" t="str">
        <f t="shared" si="15"/>
        <v>Low Risk</v>
      </c>
    </row>
    <row r="228" spans="1:17" x14ac:dyDescent="0.3">
      <c r="A228" t="s">
        <v>251</v>
      </c>
      <c r="B228" t="s">
        <v>14</v>
      </c>
      <c r="C228" t="s">
        <v>20</v>
      </c>
      <c r="D228">
        <v>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  <c r="N228">
        <f t="shared" si="12"/>
        <v>4735</v>
      </c>
      <c r="O228" t="str">
        <f t="shared" si="13"/>
        <v>Medium</v>
      </c>
      <c r="P228" t="str">
        <f t="shared" si="14"/>
        <v>Rejected</v>
      </c>
      <c r="Q228" t="str">
        <f t="shared" si="15"/>
        <v>Low Risk</v>
      </c>
    </row>
    <row r="229" spans="1:17" x14ac:dyDescent="0.3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  <c r="N229">
        <f t="shared" si="12"/>
        <v>7945</v>
      </c>
      <c r="O229" t="str">
        <f t="shared" si="13"/>
        <v>High</v>
      </c>
      <c r="P229" t="str">
        <f t="shared" si="14"/>
        <v>Approved</v>
      </c>
      <c r="Q229" t="str">
        <f t="shared" si="15"/>
        <v>Low Risk</v>
      </c>
    </row>
    <row r="230" spans="1:17" x14ac:dyDescent="0.3">
      <c r="A230" t="s">
        <v>253</v>
      </c>
      <c r="B230" t="s">
        <v>14</v>
      </c>
      <c r="C230" t="s">
        <v>20</v>
      </c>
      <c r="D230">
        <v>0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  <c r="N230">
        <f t="shared" si="12"/>
        <v>4758</v>
      </c>
      <c r="O230" t="str">
        <f t="shared" si="13"/>
        <v>Medium</v>
      </c>
      <c r="P230" t="str">
        <f t="shared" si="14"/>
        <v>Approved</v>
      </c>
      <c r="Q230" t="str">
        <f t="shared" si="15"/>
        <v>Low Risk</v>
      </c>
    </row>
    <row r="231" spans="1:17" x14ac:dyDescent="0.3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  <c r="N231">
        <f t="shared" si="12"/>
        <v>6400</v>
      </c>
      <c r="O231" t="str">
        <f t="shared" si="13"/>
        <v>High</v>
      </c>
      <c r="P231" t="str">
        <f t="shared" si="14"/>
        <v>Approved</v>
      </c>
      <c r="Q231" t="str">
        <f t="shared" si="15"/>
        <v>Low Risk</v>
      </c>
    </row>
    <row r="232" spans="1:17" x14ac:dyDescent="0.3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  <c r="N232">
        <f t="shared" si="12"/>
        <v>4545</v>
      </c>
      <c r="O232" t="str">
        <f t="shared" si="13"/>
        <v>Medium</v>
      </c>
      <c r="P232" t="str">
        <f t="shared" si="14"/>
        <v>Approved</v>
      </c>
      <c r="Q232" t="str">
        <f t="shared" si="15"/>
        <v>Low Risk</v>
      </c>
    </row>
    <row r="233" spans="1:17" x14ac:dyDescent="0.3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  <c r="N233">
        <f t="shared" si="12"/>
        <v>3716</v>
      </c>
      <c r="O233" t="str">
        <f t="shared" si="13"/>
        <v>Medium</v>
      </c>
      <c r="P233" t="str">
        <f t="shared" si="14"/>
        <v>Approved</v>
      </c>
      <c r="Q233" t="str">
        <f t="shared" si="15"/>
        <v>Low Risk</v>
      </c>
    </row>
    <row r="234" spans="1:17" x14ac:dyDescent="0.3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J234">
        <v>360</v>
      </c>
      <c r="K234">
        <v>1</v>
      </c>
      <c r="L234" t="s">
        <v>21</v>
      </c>
      <c r="M234" t="s">
        <v>18</v>
      </c>
      <c r="N234">
        <f t="shared" si="12"/>
        <v>5787</v>
      </c>
      <c r="O234" t="str">
        <f t="shared" si="13"/>
        <v>High</v>
      </c>
      <c r="P234" t="str">
        <f t="shared" si="14"/>
        <v>Approved</v>
      </c>
      <c r="Q234" t="str">
        <f t="shared" si="15"/>
        <v>Low Risk</v>
      </c>
    </row>
    <row r="235" spans="1:17" x14ac:dyDescent="0.3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  <c r="N235">
        <f t="shared" si="12"/>
        <v>8333</v>
      </c>
      <c r="O235" t="str">
        <f t="shared" si="13"/>
        <v>High</v>
      </c>
      <c r="P235" t="str">
        <f t="shared" si="14"/>
        <v>Approved</v>
      </c>
      <c r="Q235" t="str">
        <f t="shared" si="15"/>
        <v>Low Risk</v>
      </c>
    </row>
    <row r="236" spans="1:17" x14ac:dyDescent="0.3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  <c r="N236">
        <f t="shared" si="12"/>
        <v>4934</v>
      </c>
      <c r="O236" t="str">
        <f t="shared" si="13"/>
        <v>Medium</v>
      </c>
      <c r="P236" t="str">
        <f t="shared" si="14"/>
        <v>Approved</v>
      </c>
      <c r="Q236" t="str">
        <f t="shared" si="15"/>
        <v>Low Risk</v>
      </c>
    </row>
    <row r="237" spans="1:17" x14ac:dyDescent="0.3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  <c r="N237">
        <f t="shared" si="12"/>
        <v>6760</v>
      </c>
      <c r="O237" t="str">
        <f t="shared" si="13"/>
        <v>High</v>
      </c>
      <c r="P237" t="str">
        <f t="shared" si="14"/>
        <v>Approved</v>
      </c>
      <c r="Q237" t="str">
        <f t="shared" si="15"/>
        <v>Low Risk</v>
      </c>
    </row>
    <row r="238" spans="1:17" x14ac:dyDescent="0.3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K238">
        <v>1</v>
      </c>
      <c r="L238" t="s">
        <v>17</v>
      </c>
      <c r="M238" t="s">
        <v>22</v>
      </c>
      <c r="N238">
        <f t="shared" si="12"/>
        <v>5746</v>
      </c>
      <c r="O238" t="str">
        <f t="shared" si="13"/>
        <v>High</v>
      </c>
      <c r="P238" t="str">
        <f t="shared" si="14"/>
        <v>Rejected</v>
      </c>
      <c r="Q238" t="str">
        <f t="shared" si="15"/>
        <v>Low Risk</v>
      </c>
    </row>
    <row r="239" spans="1:17" x14ac:dyDescent="0.3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K239">
        <v>1</v>
      </c>
      <c r="L239" t="s">
        <v>17</v>
      </c>
      <c r="M239" t="s">
        <v>18</v>
      </c>
      <c r="N239">
        <f t="shared" si="12"/>
        <v>3463</v>
      </c>
      <c r="O239" t="str">
        <f t="shared" si="13"/>
        <v>Medium</v>
      </c>
      <c r="P239" t="str">
        <f t="shared" si="14"/>
        <v>Approved</v>
      </c>
      <c r="Q239" t="str">
        <f t="shared" si="15"/>
        <v>Low Risk</v>
      </c>
    </row>
    <row r="240" spans="1:17" x14ac:dyDescent="0.3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  <c r="N240">
        <f t="shared" si="12"/>
        <v>3812</v>
      </c>
      <c r="O240" t="str">
        <f t="shared" si="13"/>
        <v>Medium</v>
      </c>
      <c r="P240" t="str">
        <f t="shared" si="14"/>
        <v>Approved</v>
      </c>
      <c r="Q240" t="str">
        <f t="shared" si="15"/>
        <v>Low Risk</v>
      </c>
    </row>
    <row r="241" spans="1:17" x14ac:dyDescent="0.3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  <c r="N241">
        <f t="shared" si="12"/>
        <v>3315</v>
      </c>
      <c r="O241" t="str">
        <f t="shared" si="13"/>
        <v>Medium</v>
      </c>
      <c r="P241" t="str">
        <f t="shared" si="14"/>
        <v>Approved</v>
      </c>
      <c r="Q241" t="str">
        <f t="shared" si="15"/>
        <v>Low Risk</v>
      </c>
    </row>
    <row r="242" spans="1:17" x14ac:dyDescent="0.3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  <c r="N242">
        <f t="shared" si="12"/>
        <v>10819</v>
      </c>
      <c r="O242" t="str">
        <f t="shared" si="13"/>
        <v>Very High</v>
      </c>
      <c r="P242" t="str">
        <f t="shared" si="14"/>
        <v>Approved</v>
      </c>
      <c r="Q242" t="str">
        <f t="shared" si="15"/>
        <v>Low Risk</v>
      </c>
    </row>
    <row r="243" spans="1:17" x14ac:dyDescent="0.3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  <c r="N243">
        <f t="shared" si="12"/>
        <v>4493</v>
      </c>
      <c r="O243" t="str">
        <f t="shared" si="13"/>
        <v>Medium</v>
      </c>
      <c r="P243" t="str">
        <f t="shared" si="14"/>
        <v>Rejected</v>
      </c>
      <c r="Q243" t="str">
        <f t="shared" si="15"/>
        <v>Low Risk</v>
      </c>
    </row>
    <row r="244" spans="1:17" x14ac:dyDescent="0.3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  <c r="N244">
        <f t="shared" si="12"/>
        <v>8666</v>
      </c>
      <c r="O244" t="str">
        <f t="shared" si="13"/>
        <v>High</v>
      </c>
      <c r="P244" t="str">
        <f t="shared" si="14"/>
        <v>Approved</v>
      </c>
      <c r="Q244" t="str">
        <f t="shared" si="15"/>
        <v>Low Risk</v>
      </c>
    </row>
    <row r="245" spans="1:17" x14ac:dyDescent="0.3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  <c r="N245">
        <f t="shared" si="12"/>
        <v>7550</v>
      </c>
      <c r="O245" t="str">
        <f t="shared" si="13"/>
        <v>High</v>
      </c>
      <c r="P245" t="str">
        <f t="shared" si="14"/>
        <v>Approved</v>
      </c>
      <c r="Q245" t="str">
        <f t="shared" si="15"/>
        <v>Low Risk</v>
      </c>
    </row>
    <row r="246" spans="1:17" x14ac:dyDescent="0.3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  <c r="N246">
        <f t="shared" si="12"/>
        <v>7823</v>
      </c>
      <c r="O246" t="str">
        <f t="shared" si="13"/>
        <v>High</v>
      </c>
      <c r="P246" t="str">
        <f t="shared" si="14"/>
        <v>Approved</v>
      </c>
      <c r="Q246" t="str">
        <f t="shared" si="15"/>
        <v>Low Risk</v>
      </c>
    </row>
    <row r="247" spans="1:17" x14ac:dyDescent="0.3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  <c r="N247">
        <f t="shared" si="12"/>
        <v>10383</v>
      </c>
      <c r="O247" t="str">
        <f t="shared" si="13"/>
        <v>Very High</v>
      </c>
      <c r="P247" t="str">
        <f t="shared" si="14"/>
        <v>Rejected</v>
      </c>
      <c r="Q247" t="str">
        <f t="shared" si="15"/>
        <v>Low Risk</v>
      </c>
    </row>
    <row r="248" spans="1:17" x14ac:dyDescent="0.3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  <c r="N248">
        <f t="shared" si="12"/>
        <v>9703</v>
      </c>
      <c r="O248" t="str">
        <f t="shared" si="13"/>
        <v>High</v>
      </c>
      <c r="P248" t="str">
        <f t="shared" si="14"/>
        <v>Approved</v>
      </c>
      <c r="Q248" t="str">
        <f t="shared" si="15"/>
        <v>Low Risk</v>
      </c>
    </row>
    <row r="249" spans="1:17" x14ac:dyDescent="0.3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  <c r="N249">
        <f t="shared" si="12"/>
        <v>6608</v>
      </c>
      <c r="O249" t="str">
        <f t="shared" si="13"/>
        <v>High</v>
      </c>
      <c r="P249" t="str">
        <f t="shared" si="14"/>
        <v>Approved</v>
      </c>
      <c r="Q249" t="str">
        <f t="shared" si="15"/>
        <v>Low Risk</v>
      </c>
    </row>
    <row r="250" spans="1:17" x14ac:dyDescent="0.3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  <c r="N250">
        <f t="shared" si="12"/>
        <v>4725</v>
      </c>
      <c r="O250" t="str">
        <f t="shared" si="13"/>
        <v>Medium</v>
      </c>
      <c r="P250" t="str">
        <f t="shared" si="14"/>
        <v>Approved</v>
      </c>
      <c r="Q250" t="str">
        <f t="shared" si="15"/>
        <v>Low Risk</v>
      </c>
    </row>
    <row r="251" spans="1:17" x14ac:dyDescent="0.3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  <c r="N251">
        <f t="shared" si="12"/>
        <v>3677</v>
      </c>
      <c r="O251" t="str">
        <f t="shared" si="13"/>
        <v>Medium</v>
      </c>
      <c r="P251" t="str">
        <f t="shared" si="14"/>
        <v>Approved</v>
      </c>
      <c r="Q251" t="str">
        <f t="shared" si="15"/>
        <v>Low Risk</v>
      </c>
    </row>
    <row r="252" spans="1:17" x14ac:dyDescent="0.3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  <c r="N252">
        <f t="shared" si="12"/>
        <v>5558</v>
      </c>
      <c r="O252" t="str">
        <f t="shared" si="13"/>
        <v>High</v>
      </c>
      <c r="P252" t="str">
        <f t="shared" si="14"/>
        <v>Rejected</v>
      </c>
      <c r="Q252" t="str">
        <f t="shared" si="15"/>
        <v>High Risk</v>
      </c>
    </row>
    <row r="253" spans="1:17" x14ac:dyDescent="0.3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  <c r="N253">
        <f t="shared" si="12"/>
        <v>3427</v>
      </c>
      <c r="O253" t="str">
        <f t="shared" si="13"/>
        <v>Medium</v>
      </c>
      <c r="P253" t="str">
        <f t="shared" si="14"/>
        <v>Rejected</v>
      </c>
      <c r="Q253" t="str">
        <f t="shared" si="15"/>
        <v>Low Risk</v>
      </c>
    </row>
    <row r="254" spans="1:17" x14ac:dyDescent="0.3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  <c r="N254">
        <f t="shared" si="12"/>
        <v>4750</v>
      </c>
      <c r="O254" t="str">
        <f t="shared" si="13"/>
        <v>Medium</v>
      </c>
      <c r="P254" t="str">
        <f t="shared" si="14"/>
        <v>Approved</v>
      </c>
      <c r="Q254" t="str">
        <f t="shared" si="15"/>
        <v>Low Risk</v>
      </c>
    </row>
    <row r="255" spans="1:17" x14ac:dyDescent="0.3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  <c r="N255">
        <f t="shared" si="12"/>
        <v>9762</v>
      </c>
      <c r="O255" t="str">
        <f t="shared" si="13"/>
        <v>High</v>
      </c>
      <c r="P255" t="str">
        <f t="shared" si="14"/>
        <v>Approved</v>
      </c>
      <c r="Q255" t="str">
        <f t="shared" si="15"/>
        <v>Low Risk</v>
      </c>
    </row>
    <row r="256" spans="1:17" x14ac:dyDescent="0.3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  <c r="N256">
        <f t="shared" si="12"/>
        <v>16250</v>
      </c>
      <c r="O256" t="str">
        <f t="shared" si="13"/>
        <v>Very High</v>
      </c>
      <c r="P256" t="str">
        <f t="shared" si="14"/>
        <v>Rejected</v>
      </c>
      <c r="Q256" t="str">
        <f t="shared" si="15"/>
        <v>High Risk</v>
      </c>
    </row>
    <row r="257" spans="1:17" x14ac:dyDescent="0.3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  <c r="N257">
        <f t="shared" si="12"/>
        <v>3083</v>
      </c>
      <c r="O257" t="str">
        <f t="shared" si="13"/>
        <v>Medium</v>
      </c>
      <c r="P257" t="str">
        <f t="shared" si="14"/>
        <v>Approved</v>
      </c>
      <c r="Q257" t="str">
        <f t="shared" si="15"/>
        <v>Low Risk</v>
      </c>
    </row>
    <row r="258" spans="1:17" x14ac:dyDescent="0.3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  <c r="N258">
        <f t="shared" si="12"/>
        <v>6045</v>
      </c>
      <c r="O258" t="str">
        <f t="shared" si="13"/>
        <v>High</v>
      </c>
      <c r="P258" t="str">
        <f t="shared" si="14"/>
        <v>Rejected</v>
      </c>
      <c r="Q258" t="str">
        <f t="shared" si="15"/>
        <v>High Risk</v>
      </c>
    </row>
    <row r="259" spans="1:17" x14ac:dyDescent="0.3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  <c r="N259">
        <f t="shared" ref="N259:N322" si="16">G259+H259</f>
        <v>5250</v>
      </c>
      <c r="O259" t="str">
        <f t="shared" ref="O259:O322" si="17">IF(N259&lt;2500,"Low",IF(N259&lt;5000,"Medium",IF(N259&lt;10000,"High","Very High")))</f>
        <v>High</v>
      </c>
      <c r="P259" t="str">
        <f t="shared" ref="P259:P322" si="18">IF(M259="Y","Approved","Rejected")</f>
        <v>Rejected</v>
      </c>
      <c r="Q259" t="str">
        <f t="shared" ref="Q259:Q322" si="19">IF(K259=1,"Low Risk","High Risk")</f>
        <v>Low Risk</v>
      </c>
    </row>
    <row r="260" spans="1:17" x14ac:dyDescent="0.3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  <c r="N260">
        <f t="shared" si="16"/>
        <v>16783</v>
      </c>
      <c r="O260" t="str">
        <f t="shared" si="17"/>
        <v>Very High</v>
      </c>
      <c r="P260" t="str">
        <f t="shared" si="18"/>
        <v>Rejected</v>
      </c>
      <c r="Q260" t="str">
        <f t="shared" si="19"/>
        <v>Low Risk</v>
      </c>
    </row>
    <row r="261" spans="1:17" x14ac:dyDescent="0.3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K261">
        <v>1</v>
      </c>
      <c r="L261" t="s">
        <v>31</v>
      </c>
      <c r="M261" t="s">
        <v>22</v>
      </c>
      <c r="N261">
        <f t="shared" si="16"/>
        <v>4931</v>
      </c>
      <c r="O261" t="str">
        <f t="shared" si="17"/>
        <v>Medium</v>
      </c>
      <c r="P261" t="str">
        <f t="shared" si="18"/>
        <v>Rejected</v>
      </c>
      <c r="Q261" t="str">
        <f t="shared" si="19"/>
        <v>Low Risk</v>
      </c>
    </row>
    <row r="262" spans="1:17" x14ac:dyDescent="0.3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K262">
        <v>1</v>
      </c>
      <c r="L262" t="s">
        <v>17</v>
      </c>
      <c r="M262" t="s">
        <v>18</v>
      </c>
      <c r="N262">
        <f t="shared" si="16"/>
        <v>10333</v>
      </c>
      <c r="O262" t="str">
        <f t="shared" si="17"/>
        <v>Very High</v>
      </c>
      <c r="P262" t="str">
        <f t="shared" si="18"/>
        <v>Approved</v>
      </c>
      <c r="Q262" t="str">
        <f t="shared" si="19"/>
        <v>Low Risk</v>
      </c>
    </row>
    <row r="263" spans="1:17" x14ac:dyDescent="0.3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  <c r="N263">
        <f t="shared" si="16"/>
        <v>4269</v>
      </c>
      <c r="O263" t="str">
        <f t="shared" si="17"/>
        <v>Medium</v>
      </c>
      <c r="P263" t="str">
        <f t="shared" si="18"/>
        <v>Approved</v>
      </c>
      <c r="Q263" t="str">
        <f t="shared" si="19"/>
        <v>Low Risk</v>
      </c>
    </row>
    <row r="264" spans="1:17" x14ac:dyDescent="0.3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  <c r="N264">
        <f t="shared" si="16"/>
        <v>3481</v>
      </c>
      <c r="O264" t="str">
        <f t="shared" si="17"/>
        <v>Medium</v>
      </c>
      <c r="P264" t="str">
        <f t="shared" si="18"/>
        <v>Rejected</v>
      </c>
      <c r="Q264" t="str">
        <f t="shared" si="19"/>
        <v>Low Risk</v>
      </c>
    </row>
    <row r="265" spans="1:17" x14ac:dyDescent="0.3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  <c r="N265">
        <f t="shared" si="16"/>
        <v>7200</v>
      </c>
      <c r="O265" t="str">
        <f t="shared" si="17"/>
        <v>High</v>
      </c>
      <c r="P265" t="str">
        <f t="shared" si="18"/>
        <v>Approved</v>
      </c>
      <c r="Q265" t="str">
        <f t="shared" si="19"/>
        <v>Low Risk</v>
      </c>
    </row>
    <row r="266" spans="1:17" x14ac:dyDescent="0.3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  <c r="N266">
        <f t="shared" si="16"/>
        <v>5166</v>
      </c>
      <c r="O266" t="str">
        <f t="shared" si="17"/>
        <v>High</v>
      </c>
      <c r="P266" t="str">
        <f t="shared" si="18"/>
        <v>Approved</v>
      </c>
      <c r="Q266" t="str">
        <f t="shared" si="19"/>
        <v>Low Risk</v>
      </c>
    </row>
    <row r="267" spans="1:17" x14ac:dyDescent="0.3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  <c r="N267">
        <f t="shared" si="16"/>
        <v>7542</v>
      </c>
      <c r="O267" t="str">
        <f t="shared" si="17"/>
        <v>High</v>
      </c>
      <c r="P267" t="str">
        <f t="shared" si="18"/>
        <v>Approved</v>
      </c>
      <c r="Q267" t="str">
        <f t="shared" si="19"/>
        <v>Low Risk</v>
      </c>
    </row>
    <row r="268" spans="1:17" x14ac:dyDescent="0.3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  <c r="N268">
        <f t="shared" si="16"/>
        <v>6095</v>
      </c>
      <c r="O268" t="str">
        <f t="shared" si="17"/>
        <v>High</v>
      </c>
      <c r="P268" t="str">
        <f t="shared" si="18"/>
        <v>Approved</v>
      </c>
      <c r="Q268" t="str">
        <f t="shared" si="19"/>
        <v>Low Risk</v>
      </c>
    </row>
    <row r="269" spans="1:17" x14ac:dyDescent="0.3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  <c r="N269">
        <f t="shared" si="16"/>
        <v>6144</v>
      </c>
      <c r="O269" t="str">
        <f t="shared" si="17"/>
        <v>High</v>
      </c>
      <c r="P269" t="str">
        <f t="shared" si="18"/>
        <v>Approved</v>
      </c>
      <c r="Q269" t="str">
        <f t="shared" si="19"/>
        <v>High Risk</v>
      </c>
    </row>
    <row r="270" spans="1:17" x14ac:dyDescent="0.3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  <c r="N270">
        <f t="shared" si="16"/>
        <v>3418</v>
      </c>
      <c r="O270" t="str">
        <f t="shared" si="17"/>
        <v>Medium</v>
      </c>
      <c r="P270" t="str">
        <f t="shared" si="18"/>
        <v>Rejected</v>
      </c>
      <c r="Q270" t="str">
        <f t="shared" si="19"/>
        <v>Low Risk</v>
      </c>
    </row>
    <row r="271" spans="1:17" x14ac:dyDescent="0.3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  <c r="N271">
        <f t="shared" si="16"/>
        <v>4436</v>
      </c>
      <c r="O271" t="str">
        <f t="shared" si="17"/>
        <v>Medium</v>
      </c>
      <c r="P271" t="str">
        <f t="shared" si="18"/>
        <v>Approved</v>
      </c>
      <c r="Q271" t="str">
        <f t="shared" si="19"/>
        <v>Low Risk</v>
      </c>
    </row>
    <row r="272" spans="1:17" x14ac:dyDescent="0.3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  <c r="N272">
        <f t="shared" si="16"/>
        <v>3237</v>
      </c>
      <c r="O272" t="str">
        <f t="shared" si="17"/>
        <v>Medium</v>
      </c>
      <c r="P272" t="str">
        <f t="shared" si="18"/>
        <v>Approved</v>
      </c>
      <c r="Q272" t="str">
        <f t="shared" si="19"/>
        <v>Low Risk</v>
      </c>
    </row>
    <row r="273" spans="1:17" x14ac:dyDescent="0.3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  <c r="N273">
        <f t="shared" si="16"/>
        <v>11146</v>
      </c>
      <c r="O273" t="str">
        <f t="shared" si="17"/>
        <v>Very High</v>
      </c>
      <c r="P273" t="str">
        <f t="shared" si="18"/>
        <v>Approved</v>
      </c>
      <c r="Q273" t="str">
        <f t="shared" si="19"/>
        <v>Low Risk</v>
      </c>
    </row>
    <row r="274" spans="1:17" x14ac:dyDescent="0.3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  <c r="N274">
        <f t="shared" si="16"/>
        <v>4690</v>
      </c>
      <c r="O274" t="str">
        <f t="shared" si="17"/>
        <v>Medium</v>
      </c>
      <c r="P274" t="str">
        <f t="shared" si="18"/>
        <v>Approved</v>
      </c>
      <c r="Q274" t="str">
        <f t="shared" si="19"/>
        <v>Low Risk</v>
      </c>
    </row>
    <row r="275" spans="1:17" x14ac:dyDescent="0.3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  <c r="N275">
        <f t="shared" si="16"/>
        <v>4843</v>
      </c>
      <c r="O275" t="str">
        <f t="shared" si="17"/>
        <v>Medium</v>
      </c>
      <c r="P275" t="str">
        <f t="shared" si="18"/>
        <v>Approved</v>
      </c>
      <c r="Q275" t="str">
        <f t="shared" si="19"/>
        <v>Low Risk</v>
      </c>
    </row>
    <row r="276" spans="1:17" x14ac:dyDescent="0.3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  <c r="N276">
        <f t="shared" si="16"/>
        <v>3900</v>
      </c>
      <c r="O276" t="str">
        <f t="shared" si="17"/>
        <v>Medium</v>
      </c>
      <c r="P276" t="str">
        <f t="shared" si="18"/>
        <v>Approved</v>
      </c>
      <c r="Q276" t="str">
        <f t="shared" si="19"/>
        <v>Low Risk</v>
      </c>
    </row>
    <row r="277" spans="1:17" x14ac:dyDescent="0.3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  <c r="N277">
        <f t="shared" si="16"/>
        <v>4592</v>
      </c>
      <c r="O277" t="str">
        <f t="shared" si="17"/>
        <v>Medium</v>
      </c>
      <c r="P277" t="str">
        <f t="shared" si="18"/>
        <v>Approved</v>
      </c>
      <c r="Q277" t="str">
        <f t="shared" si="19"/>
        <v>Low Risk</v>
      </c>
    </row>
    <row r="278" spans="1:17" x14ac:dyDescent="0.3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  <c r="N278">
        <f t="shared" si="16"/>
        <v>7267</v>
      </c>
      <c r="O278" t="str">
        <f t="shared" si="17"/>
        <v>High</v>
      </c>
      <c r="P278" t="str">
        <f t="shared" si="18"/>
        <v>Approved</v>
      </c>
      <c r="Q278" t="str">
        <f t="shared" si="19"/>
        <v>Low Risk</v>
      </c>
    </row>
    <row r="279" spans="1:17" x14ac:dyDescent="0.3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  <c r="N279">
        <f t="shared" si="16"/>
        <v>4403</v>
      </c>
      <c r="O279" t="str">
        <f t="shared" si="17"/>
        <v>Medium</v>
      </c>
      <c r="P279" t="str">
        <f t="shared" si="18"/>
        <v>Approved</v>
      </c>
      <c r="Q279" t="str">
        <f t="shared" si="19"/>
        <v>Low Risk</v>
      </c>
    </row>
    <row r="280" spans="1:17" x14ac:dyDescent="0.3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  <c r="N280">
        <f t="shared" si="16"/>
        <v>14583</v>
      </c>
      <c r="O280" t="str">
        <f t="shared" si="17"/>
        <v>Very High</v>
      </c>
      <c r="P280" t="str">
        <f t="shared" si="18"/>
        <v>Approved</v>
      </c>
      <c r="Q280" t="str">
        <f t="shared" si="19"/>
        <v>Low Risk</v>
      </c>
    </row>
    <row r="281" spans="1:17" x14ac:dyDescent="0.3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K281">
        <v>1</v>
      </c>
      <c r="L281" t="s">
        <v>21</v>
      </c>
      <c r="M281" t="s">
        <v>18</v>
      </c>
      <c r="N281">
        <f t="shared" si="16"/>
        <v>4100</v>
      </c>
      <c r="O281" t="str">
        <f t="shared" si="17"/>
        <v>Medium</v>
      </c>
      <c r="P281" t="str">
        <f t="shared" si="18"/>
        <v>Approved</v>
      </c>
      <c r="Q281" t="str">
        <f t="shared" si="19"/>
        <v>Low Risk</v>
      </c>
    </row>
    <row r="282" spans="1:17" x14ac:dyDescent="0.3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  <c r="N282">
        <f t="shared" si="16"/>
        <v>6479</v>
      </c>
      <c r="O282" t="str">
        <f t="shared" si="17"/>
        <v>High</v>
      </c>
      <c r="P282" t="str">
        <f t="shared" si="18"/>
        <v>Rejected</v>
      </c>
      <c r="Q282" t="str">
        <f t="shared" si="19"/>
        <v>High Risk</v>
      </c>
    </row>
    <row r="283" spans="1:17" x14ac:dyDescent="0.3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  <c r="N283">
        <f t="shared" si="16"/>
        <v>4727</v>
      </c>
      <c r="O283" t="str">
        <f t="shared" si="17"/>
        <v>Medium</v>
      </c>
      <c r="P283" t="str">
        <f t="shared" si="18"/>
        <v>Approved</v>
      </c>
      <c r="Q283" t="str">
        <f t="shared" si="19"/>
        <v>Low Risk</v>
      </c>
    </row>
    <row r="284" spans="1:17" x14ac:dyDescent="0.3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  <c r="N284">
        <f t="shared" si="16"/>
        <v>3286.7999878000001</v>
      </c>
      <c r="O284" t="str">
        <f t="shared" si="17"/>
        <v>Medium</v>
      </c>
      <c r="P284" t="str">
        <f t="shared" si="18"/>
        <v>Approved</v>
      </c>
      <c r="Q284" t="str">
        <f t="shared" si="19"/>
        <v>Low Risk</v>
      </c>
    </row>
    <row r="285" spans="1:17" x14ac:dyDescent="0.3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  <c r="N285">
        <f t="shared" si="16"/>
        <v>3477</v>
      </c>
      <c r="O285" t="str">
        <f t="shared" si="17"/>
        <v>Medium</v>
      </c>
      <c r="P285" t="str">
        <f t="shared" si="18"/>
        <v>Approved</v>
      </c>
      <c r="Q285" t="str">
        <f t="shared" si="19"/>
        <v>Low Risk</v>
      </c>
    </row>
    <row r="286" spans="1:17" x14ac:dyDescent="0.3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I286">
        <v>128</v>
      </c>
      <c r="J286">
        <v>360</v>
      </c>
      <c r="K286">
        <v>1</v>
      </c>
      <c r="L286" t="s">
        <v>21</v>
      </c>
      <c r="M286" t="s">
        <v>22</v>
      </c>
      <c r="N286">
        <f t="shared" si="16"/>
        <v>20667</v>
      </c>
      <c r="O286" t="str">
        <f t="shared" si="17"/>
        <v>Very High</v>
      </c>
      <c r="P286" t="str">
        <f t="shared" si="18"/>
        <v>Rejected</v>
      </c>
      <c r="Q286" t="str">
        <f t="shared" si="19"/>
        <v>Low Risk</v>
      </c>
    </row>
    <row r="287" spans="1:17" x14ac:dyDescent="0.3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  <c r="N287">
        <f t="shared" si="16"/>
        <v>6211</v>
      </c>
      <c r="O287" t="str">
        <f t="shared" si="17"/>
        <v>High</v>
      </c>
      <c r="P287" t="str">
        <f t="shared" si="18"/>
        <v>Approved</v>
      </c>
      <c r="Q287" t="str">
        <f t="shared" si="19"/>
        <v>Low Risk</v>
      </c>
    </row>
    <row r="288" spans="1:17" x14ac:dyDescent="0.3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  <c r="N288">
        <f t="shared" si="16"/>
        <v>4317</v>
      </c>
      <c r="O288" t="str">
        <f t="shared" si="17"/>
        <v>Medium</v>
      </c>
      <c r="P288" t="str">
        <f t="shared" si="18"/>
        <v>Rejected</v>
      </c>
      <c r="Q288" t="str">
        <f t="shared" si="19"/>
        <v>Low Risk</v>
      </c>
    </row>
    <row r="289" spans="1:17" x14ac:dyDescent="0.3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  <c r="N289">
        <f t="shared" si="16"/>
        <v>5704</v>
      </c>
      <c r="O289" t="str">
        <f t="shared" si="17"/>
        <v>High</v>
      </c>
      <c r="P289" t="str">
        <f t="shared" si="18"/>
        <v>Approved</v>
      </c>
      <c r="Q289" t="str">
        <f t="shared" si="19"/>
        <v>Low Risk</v>
      </c>
    </row>
    <row r="290" spans="1:17" x14ac:dyDescent="0.3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  <c r="N290">
        <f t="shared" si="16"/>
        <v>4124</v>
      </c>
      <c r="O290" t="str">
        <f t="shared" si="17"/>
        <v>Medium</v>
      </c>
      <c r="P290" t="str">
        <f t="shared" si="18"/>
        <v>Approved</v>
      </c>
      <c r="Q290" t="str">
        <f t="shared" si="19"/>
        <v>Low Risk</v>
      </c>
    </row>
    <row r="291" spans="1:17" x14ac:dyDescent="0.3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  <c r="N291">
        <f t="shared" si="16"/>
        <v>9508</v>
      </c>
      <c r="O291" t="str">
        <f t="shared" si="17"/>
        <v>High</v>
      </c>
      <c r="P291" t="str">
        <f t="shared" si="18"/>
        <v>Approved</v>
      </c>
      <c r="Q291" t="str">
        <f t="shared" si="19"/>
        <v>Low Risk</v>
      </c>
    </row>
    <row r="292" spans="1:17" x14ac:dyDescent="0.3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  <c r="N292">
        <f t="shared" si="16"/>
        <v>5491</v>
      </c>
      <c r="O292" t="str">
        <f t="shared" si="17"/>
        <v>High</v>
      </c>
      <c r="P292" t="str">
        <f t="shared" si="18"/>
        <v>Approved</v>
      </c>
      <c r="Q292" t="str">
        <f t="shared" si="19"/>
        <v>Low Risk</v>
      </c>
    </row>
    <row r="293" spans="1:17" x14ac:dyDescent="0.3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  <c r="N293">
        <f t="shared" si="16"/>
        <v>4400</v>
      </c>
      <c r="O293" t="str">
        <f t="shared" si="17"/>
        <v>Medium</v>
      </c>
      <c r="P293" t="str">
        <f t="shared" si="18"/>
        <v>Rejected</v>
      </c>
      <c r="Q293" t="str">
        <f t="shared" si="19"/>
        <v>High Risk</v>
      </c>
    </row>
    <row r="294" spans="1:17" x14ac:dyDescent="0.3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  <c r="N294">
        <f t="shared" si="16"/>
        <v>4713</v>
      </c>
      <c r="O294" t="str">
        <f t="shared" si="17"/>
        <v>Medium</v>
      </c>
      <c r="P294" t="str">
        <f t="shared" si="18"/>
        <v>Approved</v>
      </c>
      <c r="Q294" t="str">
        <f t="shared" si="19"/>
        <v>Low Risk</v>
      </c>
    </row>
    <row r="295" spans="1:17" x14ac:dyDescent="0.3">
      <c r="A295" t="s">
        <v>318</v>
      </c>
      <c r="B295" t="s">
        <v>42</v>
      </c>
      <c r="C295" t="s">
        <v>15</v>
      </c>
      <c r="D295">
        <v>0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  <c r="N295">
        <f t="shared" si="16"/>
        <v>5417</v>
      </c>
      <c r="O295" t="str">
        <f t="shared" si="17"/>
        <v>High</v>
      </c>
      <c r="P295" t="str">
        <f t="shared" si="18"/>
        <v>Rejected</v>
      </c>
      <c r="Q295" t="str">
        <f t="shared" si="19"/>
        <v>High Risk</v>
      </c>
    </row>
    <row r="296" spans="1:17" x14ac:dyDescent="0.3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  <c r="N296">
        <f t="shared" si="16"/>
        <v>5717</v>
      </c>
      <c r="O296" t="str">
        <f t="shared" si="17"/>
        <v>High</v>
      </c>
      <c r="P296" t="str">
        <f t="shared" si="18"/>
        <v>Approved</v>
      </c>
      <c r="Q296" t="str">
        <f t="shared" si="19"/>
        <v>Low Risk</v>
      </c>
    </row>
    <row r="297" spans="1:17" x14ac:dyDescent="0.3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  <c r="N297">
        <f t="shared" si="16"/>
        <v>5666</v>
      </c>
      <c r="O297" t="str">
        <f t="shared" si="17"/>
        <v>High</v>
      </c>
      <c r="P297" t="str">
        <f t="shared" si="18"/>
        <v>Approved</v>
      </c>
      <c r="Q297" t="str">
        <f t="shared" si="19"/>
        <v>Low Risk</v>
      </c>
    </row>
    <row r="298" spans="1:17" x14ac:dyDescent="0.3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  <c r="N298">
        <f t="shared" si="16"/>
        <v>6875</v>
      </c>
      <c r="O298" t="str">
        <f t="shared" si="17"/>
        <v>High</v>
      </c>
      <c r="P298" t="str">
        <f t="shared" si="18"/>
        <v>Approved</v>
      </c>
      <c r="Q298" t="str">
        <f t="shared" si="19"/>
        <v>Low Risk</v>
      </c>
    </row>
    <row r="299" spans="1:17" x14ac:dyDescent="0.3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  <c r="N299">
        <f t="shared" si="16"/>
        <v>4666</v>
      </c>
      <c r="O299" t="str">
        <f t="shared" si="17"/>
        <v>Medium</v>
      </c>
      <c r="P299" t="str">
        <f t="shared" si="18"/>
        <v>Approved</v>
      </c>
      <c r="Q299" t="str">
        <f t="shared" si="19"/>
        <v>Low Risk</v>
      </c>
    </row>
    <row r="300" spans="1:17" x14ac:dyDescent="0.3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  <c r="N300">
        <f t="shared" si="16"/>
        <v>7541</v>
      </c>
      <c r="O300" t="str">
        <f t="shared" si="17"/>
        <v>High</v>
      </c>
      <c r="P300" t="str">
        <f t="shared" si="18"/>
        <v>Rejected</v>
      </c>
      <c r="Q300" t="str">
        <f t="shared" si="19"/>
        <v>Low Risk</v>
      </c>
    </row>
    <row r="301" spans="1:17" x14ac:dyDescent="0.3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  <c r="N301">
        <f t="shared" si="16"/>
        <v>4939</v>
      </c>
      <c r="O301" t="str">
        <f t="shared" si="17"/>
        <v>Medium</v>
      </c>
      <c r="P301" t="str">
        <f t="shared" si="18"/>
        <v>Rejected</v>
      </c>
      <c r="Q301" t="str">
        <f t="shared" si="19"/>
        <v>Low Risk</v>
      </c>
    </row>
    <row r="302" spans="1:17" x14ac:dyDescent="0.3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  <c r="N302">
        <f t="shared" si="16"/>
        <v>4734</v>
      </c>
      <c r="O302" t="str">
        <f t="shared" si="17"/>
        <v>Medium</v>
      </c>
      <c r="P302" t="str">
        <f t="shared" si="18"/>
        <v>Rejected</v>
      </c>
      <c r="Q302" t="str">
        <f t="shared" si="19"/>
        <v>High Risk</v>
      </c>
    </row>
    <row r="303" spans="1:17" x14ac:dyDescent="0.3">
      <c r="A303" t="s">
        <v>326</v>
      </c>
      <c r="B303" t="s">
        <v>14</v>
      </c>
      <c r="C303" t="s">
        <v>20</v>
      </c>
      <c r="D303">
        <v>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  <c r="N303">
        <f t="shared" si="16"/>
        <v>4625</v>
      </c>
      <c r="O303" t="str">
        <f t="shared" si="17"/>
        <v>Medium</v>
      </c>
      <c r="P303" t="str">
        <f t="shared" si="18"/>
        <v>Approved</v>
      </c>
      <c r="Q303" t="str">
        <f t="shared" si="19"/>
        <v>Low Risk</v>
      </c>
    </row>
    <row r="304" spans="1:17" x14ac:dyDescent="0.3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  <c r="N304">
        <f t="shared" si="16"/>
        <v>5000</v>
      </c>
      <c r="O304" t="str">
        <f t="shared" si="17"/>
        <v>High</v>
      </c>
      <c r="P304" t="str">
        <f t="shared" si="18"/>
        <v>Approved</v>
      </c>
      <c r="Q304" t="str">
        <f t="shared" si="19"/>
        <v>Low Risk</v>
      </c>
    </row>
    <row r="305" spans="1:17" x14ac:dyDescent="0.3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  <c r="N305">
        <f t="shared" si="16"/>
        <v>3428</v>
      </c>
      <c r="O305" t="str">
        <f t="shared" si="17"/>
        <v>Medium</v>
      </c>
      <c r="P305" t="str">
        <f t="shared" si="18"/>
        <v>Approved</v>
      </c>
      <c r="Q305" t="str">
        <f t="shared" si="19"/>
        <v>Low Risk</v>
      </c>
    </row>
    <row r="306" spans="1:17" x14ac:dyDescent="0.3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  <c r="N306">
        <f t="shared" si="16"/>
        <v>6500</v>
      </c>
      <c r="O306" t="str">
        <f t="shared" si="17"/>
        <v>High</v>
      </c>
      <c r="P306" t="str">
        <f t="shared" si="18"/>
        <v>Approved</v>
      </c>
      <c r="Q306" t="str">
        <f t="shared" si="19"/>
        <v>Low Risk</v>
      </c>
    </row>
    <row r="307" spans="1:17" x14ac:dyDescent="0.3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I307">
        <v>128</v>
      </c>
      <c r="J307">
        <v>360</v>
      </c>
      <c r="K307">
        <v>1</v>
      </c>
      <c r="L307" t="s">
        <v>17</v>
      </c>
      <c r="M307" t="s">
        <v>22</v>
      </c>
      <c r="N307">
        <f t="shared" si="16"/>
        <v>2000</v>
      </c>
      <c r="O307" t="str">
        <f t="shared" si="17"/>
        <v>Low</v>
      </c>
      <c r="P307" t="str">
        <f t="shared" si="18"/>
        <v>Rejected</v>
      </c>
      <c r="Q307" t="str">
        <f t="shared" si="19"/>
        <v>Low Risk</v>
      </c>
    </row>
    <row r="308" spans="1:17" x14ac:dyDescent="0.3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  <c r="N308">
        <f t="shared" si="16"/>
        <v>5428</v>
      </c>
      <c r="O308" t="str">
        <f t="shared" si="17"/>
        <v>High</v>
      </c>
      <c r="P308" t="str">
        <f t="shared" si="18"/>
        <v>Approved</v>
      </c>
      <c r="Q308" t="str">
        <f t="shared" si="19"/>
        <v>Low Risk</v>
      </c>
    </row>
    <row r="309" spans="1:17" x14ac:dyDescent="0.3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  <c r="N309">
        <f t="shared" si="16"/>
        <v>4263</v>
      </c>
      <c r="O309" t="str">
        <f t="shared" si="17"/>
        <v>Medium</v>
      </c>
      <c r="P309" t="str">
        <f t="shared" si="18"/>
        <v>Rejected</v>
      </c>
      <c r="Q309" t="str">
        <f t="shared" si="19"/>
        <v>High Risk</v>
      </c>
    </row>
    <row r="310" spans="1:17" x14ac:dyDescent="0.3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  <c r="N310">
        <f t="shared" si="16"/>
        <v>20233</v>
      </c>
      <c r="O310" t="str">
        <f t="shared" si="17"/>
        <v>Very High</v>
      </c>
      <c r="P310" t="str">
        <f t="shared" si="18"/>
        <v>Rejected</v>
      </c>
      <c r="Q310" t="str">
        <f t="shared" si="19"/>
        <v>Low Risk</v>
      </c>
    </row>
    <row r="311" spans="1:17" x14ac:dyDescent="0.3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K311">
        <v>1</v>
      </c>
      <c r="L311" t="s">
        <v>21</v>
      </c>
      <c r="M311" t="s">
        <v>18</v>
      </c>
      <c r="N311">
        <f t="shared" si="16"/>
        <v>7667</v>
      </c>
      <c r="O311" t="str">
        <f t="shared" si="17"/>
        <v>High</v>
      </c>
      <c r="P311" t="str">
        <f t="shared" si="18"/>
        <v>Approved</v>
      </c>
      <c r="Q311" t="str">
        <f t="shared" si="19"/>
        <v>Low Risk</v>
      </c>
    </row>
    <row r="312" spans="1:17" x14ac:dyDescent="0.3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  <c r="N312">
        <f t="shared" si="16"/>
        <v>2917</v>
      </c>
      <c r="O312" t="str">
        <f t="shared" si="17"/>
        <v>Medium</v>
      </c>
      <c r="P312" t="str">
        <f t="shared" si="18"/>
        <v>Approved</v>
      </c>
      <c r="Q312" t="str">
        <f t="shared" si="19"/>
        <v>Low Risk</v>
      </c>
    </row>
    <row r="313" spans="1:17" x14ac:dyDescent="0.3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  <c r="N313">
        <f t="shared" si="16"/>
        <v>5332</v>
      </c>
      <c r="O313" t="str">
        <f t="shared" si="17"/>
        <v>High</v>
      </c>
      <c r="P313" t="str">
        <f t="shared" si="18"/>
        <v>Approved</v>
      </c>
      <c r="Q313" t="str">
        <f t="shared" si="19"/>
        <v>Low Risk</v>
      </c>
    </row>
    <row r="314" spans="1:17" x14ac:dyDescent="0.3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  <c r="N314">
        <f t="shared" si="16"/>
        <v>2507</v>
      </c>
      <c r="O314" t="str">
        <f t="shared" si="17"/>
        <v>Medium</v>
      </c>
      <c r="P314" t="str">
        <f t="shared" si="18"/>
        <v>Approved</v>
      </c>
      <c r="Q314" t="str">
        <f t="shared" si="19"/>
        <v>Low Risk</v>
      </c>
    </row>
    <row r="315" spans="1:17" x14ac:dyDescent="0.3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K315">
        <v>1</v>
      </c>
      <c r="L315" t="s">
        <v>21</v>
      </c>
      <c r="M315" t="s">
        <v>18</v>
      </c>
      <c r="N315">
        <f t="shared" si="16"/>
        <v>5746</v>
      </c>
      <c r="O315" t="str">
        <f t="shared" si="17"/>
        <v>High</v>
      </c>
      <c r="P315" t="str">
        <f t="shared" si="18"/>
        <v>Approved</v>
      </c>
      <c r="Q315" t="str">
        <f t="shared" si="19"/>
        <v>Low Risk</v>
      </c>
    </row>
    <row r="316" spans="1:17" x14ac:dyDescent="0.3">
      <c r="A316" t="s">
        <v>339</v>
      </c>
      <c r="B316" t="s">
        <v>14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  <c r="N316">
        <f t="shared" si="16"/>
        <v>4316</v>
      </c>
      <c r="O316" t="str">
        <f t="shared" si="17"/>
        <v>Medium</v>
      </c>
      <c r="P316" t="str">
        <f t="shared" si="18"/>
        <v>Rejected</v>
      </c>
      <c r="Q316" t="str">
        <f t="shared" si="19"/>
        <v>Low Risk</v>
      </c>
    </row>
    <row r="317" spans="1:17" x14ac:dyDescent="0.3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  <c r="N317">
        <f t="shared" si="16"/>
        <v>5039</v>
      </c>
      <c r="O317" t="str">
        <f t="shared" si="17"/>
        <v>High</v>
      </c>
      <c r="P317" t="str">
        <f t="shared" si="18"/>
        <v>Approved</v>
      </c>
      <c r="Q317" t="str">
        <f t="shared" si="19"/>
        <v>Low Risk</v>
      </c>
    </row>
    <row r="318" spans="1:17" x14ac:dyDescent="0.3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  <c r="N318">
        <f t="shared" si="16"/>
        <v>3717</v>
      </c>
      <c r="O318" t="str">
        <f t="shared" si="17"/>
        <v>Medium</v>
      </c>
      <c r="P318" t="str">
        <f t="shared" si="18"/>
        <v>Approved</v>
      </c>
      <c r="Q318" t="str">
        <f t="shared" si="19"/>
        <v>Low Risk</v>
      </c>
    </row>
    <row r="319" spans="1:17" x14ac:dyDescent="0.3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K319">
        <v>1</v>
      </c>
      <c r="L319" t="s">
        <v>17</v>
      </c>
      <c r="M319" t="s">
        <v>18</v>
      </c>
      <c r="N319">
        <f t="shared" si="16"/>
        <v>4192</v>
      </c>
      <c r="O319" t="str">
        <f t="shared" si="17"/>
        <v>Medium</v>
      </c>
      <c r="P319" t="str">
        <f t="shared" si="18"/>
        <v>Approved</v>
      </c>
      <c r="Q319" t="str">
        <f t="shared" si="19"/>
        <v>Low Risk</v>
      </c>
    </row>
    <row r="320" spans="1:17" x14ac:dyDescent="0.3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K320">
        <v>1</v>
      </c>
      <c r="L320" t="s">
        <v>31</v>
      </c>
      <c r="M320" t="s">
        <v>18</v>
      </c>
      <c r="N320">
        <f t="shared" si="16"/>
        <v>3541</v>
      </c>
      <c r="O320" t="str">
        <f t="shared" si="17"/>
        <v>Medium</v>
      </c>
      <c r="P320" t="str">
        <f t="shared" si="18"/>
        <v>Approved</v>
      </c>
      <c r="Q320" t="str">
        <f t="shared" si="19"/>
        <v>Low Risk</v>
      </c>
    </row>
    <row r="321" spans="1:17" x14ac:dyDescent="0.3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  <c r="N321">
        <f t="shared" si="16"/>
        <v>10000</v>
      </c>
      <c r="O321" t="str">
        <f t="shared" si="17"/>
        <v>Very High</v>
      </c>
      <c r="P321" t="str">
        <f t="shared" si="18"/>
        <v>Rejected</v>
      </c>
      <c r="Q321" t="str">
        <f t="shared" si="19"/>
        <v>Low Risk</v>
      </c>
    </row>
    <row r="322" spans="1:17" x14ac:dyDescent="0.3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  <c r="N322">
        <f t="shared" si="16"/>
        <v>4567</v>
      </c>
      <c r="O322" t="str">
        <f t="shared" si="17"/>
        <v>Medium</v>
      </c>
      <c r="P322" t="str">
        <f t="shared" si="18"/>
        <v>Approved</v>
      </c>
      <c r="Q322" t="str">
        <f t="shared" si="19"/>
        <v>Low Risk</v>
      </c>
    </row>
    <row r="323" spans="1:17" x14ac:dyDescent="0.3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  <c r="N323">
        <f t="shared" ref="N323:N386" si="20">G323+H323</f>
        <v>4531</v>
      </c>
      <c r="O323" t="str">
        <f t="shared" ref="O323:O386" si="21">IF(N323&lt;2500,"Low",IF(N323&lt;5000,"Medium",IF(N323&lt;10000,"High","Very High")))</f>
        <v>Medium</v>
      </c>
      <c r="P323" t="str">
        <f t="shared" ref="P323:P386" si="22">IF(M323="Y","Approved","Rejected")</f>
        <v>Approved</v>
      </c>
      <c r="Q323" t="str">
        <f t="shared" ref="Q323:Q386" si="23">IF(K323=1,"Low Risk","High Risk")</f>
        <v>Low Risk</v>
      </c>
    </row>
    <row r="324" spans="1:17" x14ac:dyDescent="0.3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I324">
        <v>128</v>
      </c>
      <c r="J324">
        <v>360</v>
      </c>
      <c r="K324">
        <v>1</v>
      </c>
      <c r="L324" t="s">
        <v>21</v>
      </c>
      <c r="M324" t="s">
        <v>18</v>
      </c>
      <c r="N324">
        <f t="shared" si="20"/>
        <v>5191</v>
      </c>
      <c r="O324" t="str">
        <f t="shared" si="21"/>
        <v>High</v>
      </c>
      <c r="P324" t="str">
        <f t="shared" si="22"/>
        <v>Approved</v>
      </c>
      <c r="Q324" t="str">
        <f t="shared" si="23"/>
        <v>Low Risk</v>
      </c>
    </row>
    <row r="325" spans="1:17" x14ac:dyDescent="0.3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K325">
        <v>1</v>
      </c>
      <c r="L325" t="s">
        <v>21</v>
      </c>
      <c r="M325" t="s">
        <v>18</v>
      </c>
      <c r="N325">
        <f t="shared" si="20"/>
        <v>6151</v>
      </c>
      <c r="O325" t="str">
        <f t="shared" si="21"/>
        <v>High</v>
      </c>
      <c r="P325" t="str">
        <f t="shared" si="22"/>
        <v>Approved</v>
      </c>
      <c r="Q325" t="str">
        <f t="shared" si="23"/>
        <v>Low Risk</v>
      </c>
    </row>
    <row r="326" spans="1:17" x14ac:dyDescent="0.3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  <c r="N326">
        <f t="shared" si="20"/>
        <v>15000</v>
      </c>
      <c r="O326" t="str">
        <f t="shared" si="21"/>
        <v>Very High</v>
      </c>
      <c r="P326" t="str">
        <f t="shared" si="22"/>
        <v>Approved</v>
      </c>
      <c r="Q326" t="str">
        <f t="shared" si="23"/>
        <v>Low Risk</v>
      </c>
    </row>
    <row r="327" spans="1:17" x14ac:dyDescent="0.3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  <c r="N327">
        <f t="shared" si="20"/>
        <v>13649</v>
      </c>
      <c r="O327" t="str">
        <f t="shared" si="21"/>
        <v>Very High</v>
      </c>
      <c r="P327" t="str">
        <f t="shared" si="22"/>
        <v>Rejected</v>
      </c>
      <c r="Q327" t="str">
        <f t="shared" si="23"/>
        <v>High Risk</v>
      </c>
    </row>
    <row r="328" spans="1:17" x14ac:dyDescent="0.3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  <c r="N328">
        <f t="shared" si="20"/>
        <v>4917</v>
      </c>
      <c r="O328" t="str">
        <f t="shared" si="21"/>
        <v>Medium</v>
      </c>
      <c r="P328" t="str">
        <f t="shared" si="22"/>
        <v>Approved</v>
      </c>
      <c r="Q328" t="str">
        <f t="shared" si="23"/>
        <v>High Risk</v>
      </c>
    </row>
    <row r="329" spans="1:17" x14ac:dyDescent="0.3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  <c r="N329">
        <f t="shared" si="20"/>
        <v>7978</v>
      </c>
      <c r="O329" t="str">
        <f t="shared" si="21"/>
        <v>High</v>
      </c>
      <c r="P329" t="str">
        <f t="shared" si="22"/>
        <v>Approved</v>
      </c>
      <c r="Q329" t="str">
        <f t="shared" si="23"/>
        <v>Low Risk</v>
      </c>
    </row>
    <row r="330" spans="1:17" x14ac:dyDescent="0.3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  <c r="N330">
        <f t="shared" si="20"/>
        <v>6784</v>
      </c>
      <c r="O330" t="str">
        <f t="shared" si="21"/>
        <v>High</v>
      </c>
      <c r="P330" t="str">
        <f t="shared" si="22"/>
        <v>Rejected</v>
      </c>
      <c r="Q330" t="str">
        <f t="shared" si="23"/>
        <v>Low Risk</v>
      </c>
    </row>
    <row r="331" spans="1:17" x14ac:dyDescent="0.3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  <c r="N331">
        <f t="shared" si="20"/>
        <v>2500</v>
      </c>
      <c r="O331" t="str">
        <f t="shared" si="21"/>
        <v>Medium</v>
      </c>
      <c r="P331" t="str">
        <f t="shared" si="22"/>
        <v>Approved</v>
      </c>
      <c r="Q331" t="str">
        <f t="shared" si="23"/>
        <v>Low Risk</v>
      </c>
    </row>
    <row r="332" spans="1:17" x14ac:dyDescent="0.3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  <c r="N332">
        <f t="shared" si="20"/>
        <v>6177</v>
      </c>
      <c r="O332" t="str">
        <f t="shared" si="21"/>
        <v>High</v>
      </c>
      <c r="P332" t="str">
        <f t="shared" si="22"/>
        <v>Approved</v>
      </c>
      <c r="Q332" t="str">
        <f t="shared" si="23"/>
        <v>Low Risk</v>
      </c>
    </row>
    <row r="333" spans="1:17" x14ac:dyDescent="0.3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  <c r="N333">
        <f t="shared" si="20"/>
        <v>2935</v>
      </c>
      <c r="O333" t="str">
        <f t="shared" si="21"/>
        <v>Medium</v>
      </c>
      <c r="P333" t="str">
        <f t="shared" si="22"/>
        <v>Approved</v>
      </c>
      <c r="Q333" t="str">
        <f t="shared" si="23"/>
        <v>Low Risk</v>
      </c>
    </row>
    <row r="334" spans="1:17" x14ac:dyDescent="0.3">
      <c r="A334" t="s">
        <v>357</v>
      </c>
      <c r="B334" t="s">
        <v>14</v>
      </c>
      <c r="C334" t="s">
        <v>15</v>
      </c>
      <c r="D334">
        <v>0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  <c r="N334">
        <f t="shared" si="20"/>
        <v>2833</v>
      </c>
      <c r="O334" t="str">
        <f t="shared" si="21"/>
        <v>Medium</v>
      </c>
      <c r="P334" t="str">
        <f t="shared" si="22"/>
        <v>Approved</v>
      </c>
      <c r="Q334" t="str">
        <f t="shared" si="23"/>
        <v>Low Risk</v>
      </c>
    </row>
    <row r="335" spans="1:17" x14ac:dyDescent="0.3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  <c r="N335">
        <f t="shared" si="20"/>
        <v>63337</v>
      </c>
      <c r="O335" t="str">
        <f t="shared" si="21"/>
        <v>Very High</v>
      </c>
      <c r="P335" t="str">
        <f t="shared" si="22"/>
        <v>Approved</v>
      </c>
      <c r="Q335" t="str">
        <f t="shared" si="23"/>
        <v>Low Risk</v>
      </c>
    </row>
    <row r="336" spans="1:17" x14ac:dyDescent="0.3">
      <c r="A336" t="s">
        <v>359</v>
      </c>
      <c r="B336" t="s">
        <v>14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  <c r="N336">
        <f t="shared" si="20"/>
        <v>11666</v>
      </c>
      <c r="O336" t="str">
        <f t="shared" si="21"/>
        <v>Very High</v>
      </c>
      <c r="P336" t="str">
        <f t="shared" si="22"/>
        <v>Approved</v>
      </c>
      <c r="Q336" t="str">
        <f t="shared" si="23"/>
        <v>Low Risk</v>
      </c>
    </row>
    <row r="337" spans="1:17" x14ac:dyDescent="0.3">
      <c r="A337" t="s">
        <v>360</v>
      </c>
      <c r="B337" t="s">
        <v>14</v>
      </c>
      <c r="C337" t="s">
        <v>20</v>
      </c>
      <c r="D337">
        <v>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J337">
        <v>360</v>
      </c>
      <c r="K337">
        <v>1</v>
      </c>
      <c r="L337" t="s">
        <v>31</v>
      </c>
      <c r="M337" t="s">
        <v>18</v>
      </c>
      <c r="N337">
        <f t="shared" si="20"/>
        <v>9993</v>
      </c>
      <c r="O337" t="str">
        <f t="shared" si="21"/>
        <v>High</v>
      </c>
      <c r="P337" t="str">
        <f t="shared" si="22"/>
        <v>Approved</v>
      </c>
      <c r="Q337" t="str">
        <f t="shared" si="23"/>
        <v>Low Risk</v>
      </c>
    </row>
    <row r="338" spans="1:17" x14ac:dyDescent="0.3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  <c r="N338">
        <f t="shared" si="20"/>
        <v>5938</v>
      </c>
      <c r="O338" t="str">
        <f t="shared" si="21"/>
        <v>High</v>
      </c>
      <c r="P338" t="str">
        <f t="shared" si="22"/>
        <v>Approved</v>
      </c>
      <c r="Q338" t="str">
        <f t="shared" si="23"/>
        <v>Low Risk</v>
      </c>
    </row>
    <row r="339" spans="1:17" x14ac:dyDescent="0.3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  <c r="N339">
        <f t="shared" si="20"/>
        <v>7100</v>
      </c>
      <c r="O339" t="str">
        <f t="shared" si="21"/>
        <v>High</v>
      </c>
      <c r="P339" t="str">
        <f t="shared" si="22"/>
        <v>Approved</v>
      </c>
      <c r="Q339" t="str">
        <f t="shared" si="23"/>
        <v>Low Risk</v>
      </c>
    </row>
    <row r="340" spans="1:17" x14ac:dyDescent="0.3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I340">
        <v>128</v>
      </c>
      <c r="J340">
        <v>360</v>
      </c>
      <c r="K340">
        <v>0</v>
      </c>
      <c r="L340" t="s">
        <v>17</v>
      </c>
      <c r="M340" t="s">
        <v>22</v>
      </c>
      <c r="N340">
        <f t="shared" si="20"/>
        <v>1830</v>
      </c>
      <c r="O340" t="str">
        <f t="shared" si="21"/>
        <v>Low</v>
      </c>
      <c r="P340" t="str">
        <f t="shared" si="22"/>
        <v>Rejected</v>
      </c>
      <c r="Q340" t="str">
        <f t="shared" si="23"/>
        <v>High Risk</v>
      </c>
    </row>
    <row r="341" spans="1:17" x14ac:dyDescent="0.3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  <c r="N341">
        <f t="shared" si="20"/>
        <v>4160</v>
      </c>
      <c r="O341" t="str">
        <f t="shared" si="21"/>
        <v>Medium</v>
      </c>
      <c r="P341" t="str">
        <f t="shared" si="22"/>
        <v>Approved</v>
      </c>
      <c r="Q341" t="str">
        <f t="shared" si="23"/>
        <v>Low Risk</v>
      </c>
    </row>
    <row r="342" spans="1:17" x14ac:dyDescent="0.3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  <c r="N342">
        <f t="shared" si="20"/>
        <v>4234</v>
      </c>
      <c r="O342" t="str">
        <f t="shared" si="21"/>
        <v>Medium</v>
      </c>
      <c r="P342" t="str">
        <f t="shared" si="22"/>
        <v>Rejected</v>
      </c>
      <c r="Q342" t="str">
        <f t="shared" si="23"/>
        <v>Low Risk</v>
      </c>
    </row>
    <row r="343" spans="1:17" x14ac:dyDescent="0.3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  <c r="N343">
        <f t="shared" si="20"/>
        <v>2378</v>
      </c>
      <c r="O343" t="str">
        <f t="shared" si="21"/>
        <v>Low</v>
      </c>
      <c r="P343" t="str">
        <f t="shared" si="22"/>
        <v>Rejected</v>
      </c>
      <c r="Q343" t="str">
        <f t="shared" si="23"/>
        <v>Low Risk</v>
      </c>
    </row>
    <row r="344" spans="1:17" x14ac:dyDescent="0.3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  <c r="N344">
        <f t="shared" si="20"/>
        <v>5783</v>
      </c>
      <c r="O344" t="str">
        <f t="shared" si="21"/>
        <v>High</v>
      </c>
      <c r="P344" t="str">
        <f t="shared" si="22"/>
        <v>Approved</v>
      </c>
      <c r="Q344" t="str">
        <f t="shared" si="23"/>
        <v>Low Risk</v>
      </c>
    </row>
    <row r="345" spans="1:17" x14ac:dyDescent="0.3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  <c r="N345">
        <f t="shared" si="20"/>
        <v>3173</v>
      </c>
      <c r="O345" t="str">
        <f t="shared" si="21"/>
        <v>Medium</v>
      </c>
      <c r="P345" t="str">
        <f t="shared" si="22"/>
        <v>Approved</v>
      </c>
      <c r="Q345" t="str">
        <f t="shared" si="23"/>
        <v>Low Risk</v>
      </c>
    </row>
    <row r="346" spans="1:17" x14ac:dyDescent="0.3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  <c r="N346">
        <f t="shared" si="20"/>
        <v>4913</v>
      </c>
      <c r="O346" t="str">
        <f t="shared" si="21"/>
        <v>Medium</v>
      </c>
      <c r="P346" t="str">
        <f t="shared" si="22"/>
        <v>Approved</v>
      </c>
      <c r="Q346" t="str">
        <f t="shared" si="23"/>
        <v>Low Risk</v>
      </c>
    </row>
    <row r="347" spans="1:17" x14ac:dyDescent="0.3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  <c r="N347">
        <f t="shared" si="20"/>
        <v>4957</v>
      </c>
      <c r="O347" t="str">
        <f t="shared" si="21"/>
        <v>Medium</v>
      </c>
      <c r="P347" t="str">
        <f t="shared" si="22"/>
        <v>Approved</v>
      </c>
      <c r="Q347" t="str">
        <f t="shared" si="23"/>
        <v>Low Risk</v>
      </c>
    </row>
    <row r="348" spans="1:17" x14ac:dyDescent="0.3">
      <c r="A348" t="s">
        <v>371</v>
      </c>
      <c r="B348" t="s">
        <v>14</v>
      </c>
      <c r="C348" t="s">
        <v>20</v>
      </c>
      <c r="D348">
        <v>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  <c r="N348">
        <f t="shared" si="20"/>
        <v>6753</v>
      </c>
      <c r="O348" t="str">
        <f t="shared" si="21"/>
        <v>High</v>
      </c>
      <c r="P348" t="str">
        <f t="shared" si="22"/>
        <v>Rejected</v>
      </c>
      <c r="Q348" t="str">
        <f t="shared" si="23"/>
        <v>High Risk</v>
      </c>
    </row>
    <row r="349" spans="1:17" x14ac:dyDescent="0.3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  <c r="N349">
        <f t="shared" si="20"/>
        <v>5251</v>
      </c>
      <c r="O349" t="str">
        <f t="shared" si="21"/>
        <v>High</v>
      </c>
      <c r="P349" t="str">
        <f t="shared" si="22"/>
        <v>Approved</v>
      </c>
      <c r="Q349" t="str">
        <f t="shared" si="23"/>
        <v>Low Risk</v>
      </c>
    </row>
    <row r="350" spans="1:17" x14ac:dyDescent="0.3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K350">
        <v>1</v>
      </c>
      <c r="L350" t="s">
        <v>31</v>
      </c>
      <c r="M350" t="s">
        <v>18</v>
      </c>
      <c r="N350">
        <f t="shared" si="20"/>
        <v>10916</v>
      </c>
      <c r="O350" t="str">
        <f t="shared" si="21"/>
        <v>Very High</v>
      </c>
      <c r="P350" t="str">
        <f t="shared" si="22"/>
        <v>Approved</v>
      </c>
      <c r="Q350" t="str">
        <f t="shared" si="23"/>
        <v>Low Risk</v>
      </c>
    </row>
    <row r="351" spans="1:17" x14ac:dyDescent="0.3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  <c r="N351">
        <f t="shared" si="20"/>
        <v>8875</v>
      </c>
      <c r="O351" t="str">
        <f t="shared" si="21"/>
        <v>High</v>
      </c>
      <c r="P351" t="str">
        <f t="shared" si="22"/>
        <v>Approved</v>
      </c>
      <c r="Q351" t="str">
        <f t="shared" si="23"/>
        <v>Low Risk</v>
      </c>
    </row>
    <row r="352" spans="1:17" x14ac:dyDescent="0.3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  <c r="N352">
        <f t="shared" si="20"/>
        <v>9083</v>
      </c>
      <c r="O352" t="str">
        <f t="shared" si="21"/>
        <v>High</v>
      </c>
      <c r="P352" t="str">
        <f t="shared" si="22"/>
        <v>Approved</v>
      </c>
      <c r="Q352" t="str">
        <f t="shared" si="23"/>
        <v>Low Risk</v>
      </c>
    </row>
    <row r="353" spans="1:17" x14ac:dyDescent="0.3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  <c r="N353">
        <f t="shared" si="20"/>
        <v>12917</v>
      </c>
      <c r="O353" t="str">
        <f t="shared" si="21"/>
        <v>Very High</v>
      </c>
      <c r="P353" t="str">
        <f t="shared" si="22"/>
        <v>Rejected</v>
      </c>
      <c r="Q353" t="str">
        <f t="shared" si="23"/>
        <v>Low Risk</v>
      </c>
    </row>
    <row r="354" spans="1:17" x14ac:dyDescent="0.3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  <c r="N354">
        <f t="shared" si="20"/>
        <v>4749</v>
      </c>
      <c r="O354" t="str">
        <f t="shared" si="21"/>
        <v>Medium</v>
      </c>
      <c r="P354" t="str">
        <f t="shared" si="22"/>
        <v>Approved</v>
      </c>
      <c r="Q354" t="str">
        <f t="shared" si="23"/>
        <v>Low Risk</v>
      </c>
    </row>
    <row r="355" spans="1:17" x14ac:dyDescent="0.3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  <c r="N355">
        <f t="shared" si="20"/>
        <v>5500</v>
      </c>
      <c r="O355" t="str">
        <f t="shared" si="21"/>
        <v>High</v>
      </c>
      <c r="P355" t="str">
        <f t="shared" si="22"/>
        <v>Rejected</v>
      </c>
      <c r="Q355" t="str">
        <f t="shared" si="23"/>
        <v>High Risk</v>
      </c>
    </row>
    <row r="356" spans="1:17" x14ac:dyDescent="0.3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  <c r="N356">
        <f t="shared" si="20"/>
        <v>2928</v>
      </c>
      <c r="O356" t="str">
        <f t="shared" si="21"/>
        <v>Medium</v>
      </c>
      <c r="P356" t="str">
        <f t="shared" si="22"/>
        <v>Approved</v>
      </c>
      <c r="Q356" t="str">
        <f t="shared" si="23"/>
        <v>Low Risk</v>
      </c>
    </row>
    <row r="357" spans="1:17" x14ac:dyDescent="0.3">
      <c r="A357" t="s">
        <v>380</v>
      </c>
      <c r="B357" t="s">
        <v>42</v>
      </c>
      <c r="C357" t="s">
        <v>15</v>
      </c>
      <c r="D357">
        <v>0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  <c r="N357">
        <f t="shared" si="20"/>
        <v>3813</v>
      </c>
      <c r="O357" t="str">
        <f t="shared" si="21"/>
        <v>Medium</v>
      </c>
      <c r="P357" t="str">
        <f t="shared" si="22"/>
        <v>Approved</v>
      </c>
      <c r="Q357" t="str">
        <f t="shared" si="23"/>
        <v>Low Risk</v>
      </c>
    </row>
    <row r="358" spans="1:17" x14ac:dyDescent="0.3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  <c r="N358">
        <f t="shared" si="20"/>
        <v>11500</v>
      </c>
      <c r="O358" t="str">
        <f t="shared" si="21"/>
        <v>Very High</v>
      </c>
      <c r="P358" t="str">
        <f t="shared" si="22"/>
        <v>Approved</v>
      </c>
      <c r="Q358" t="str">
        <f t="shared" si="23"/>
        <v>Low Risk</v>
      </c>
    </row>
    <row r="359" spans="1:17" x14ac:dyDescent="0.3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  <c r="N359">
        <f t="shared" si="20"/>
        <v>3875</v>
      </c>
      <c r="O359" t="str">
        <f t="shared" si="21"/>
        <v>Medium</v>
      </c>
      <c r="P359" t="str">
        <f t="shared" si="22"/>
        <v>Rejected</v>
      </c>
      <c r="Q359" t="str">
        <f t="shared" si="23"/>
        <v>Low Risk</v>
      </c>
    </row>
    <row r="360" spans="1:17" x14ac:dyDescent="0.3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  <c r="N360">
        <f t="shared" si="20"/>
        <v>4666</v>
      </c>
      <c r="O360" t="str">
        <f t="shared" si="21"/>
        <v>Medium</v>
      </c>
      <c r="P360" t="str">
        <f t="shared" si="22"/>
        <v>Rejected</v>
      </c>
      <c r="Q360" t="str">
        <f t="shared" si="23"/>
        <v>High Risk</v>
      </c>
    </row>
    <row r="361" spans="1:17" x14ac:dyDescent="0.3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  <c r="N361">
        <f t="shared" si="20"/>
        <v>8334</v>
      </c>
      <c r="O361" t="str">
        <f t="shared" si="21"/>
        <v>High</v>
      </c>
      <c r="P361" t="str">
        <f t="shared" si="22"/>
        <v>Approved</v>
      </c>
      <c r="Q361" t="str">
        <f t="shared" si="23"/>
        <v>Low Risk</v>
      </c>
    </row>
    <row r="362" spans="1:17" x14ac:dyDescent="0.3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  <c r="N362">
        <f t="shared" si="20"/>
        <v>4723</v>
      </c>
      <c r="O362" t="str">
        <f t="shared" si="21"/>
        <v>Medium</v>
      </c>
      <c r="P362" t="str">
        <f t="shared" si="22"/>
        <v>Rejected</v>
      </c>
      <c r="Q362" t="str">
        <f t="shared" si="23"/>
        <v>Low Risk</v>
      </c>
    </row>
    <row r="363" spans="1:17" x14ac:dyDescent="0.3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  <c r="N363">
        <f t="shared" si="20"/>
        <v>8667</v>
      </c>
      <c r="O363" t="str">
        <f t="shared" si="21"/>
        <v>High</v>
      </c>
      <c r="P363" t="str">
        <f t="shared" si="22"/>
        <v>Approved</v>
      </c>
      <c r="Q363" t="str">
        <f t="shared" si="23"/>
        <v>Low Risk</v>
      </c>
    </row>
    <row r="364" spans="1:17" x14ac:dyDescent="0.3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  <c r="N364">
        <f t="shared" si="20"/>
        <v>7083</v>
      </c>
      <c r="O364" t="str">
        <f t="shared" si="21"/>
        <v>High</v>
      </c>
      <c r="P364" t="str">
        <f t="shared" si="22"/>
        <v>Approved</v>
      </c>
      <c r="Q364" t="str">
        <f t="shared" si="23"/>
        <v>Low Risk</v>
      </c>
    </row>
    <row r="365" spans="1:17" x14ac:dyDescent="0.3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K365">
        <v>1</v>
      </c>
      <c r="L365" t="s">
        <v>17</v>
      </c>
      <c r="M365" t="s">
        <v>18</v>
      </c>
      <c r="N365">
        <f t="shared" si="20"/>
        <v>6046</v>
      </c>
      <c r="O365" t="str">
        <f t="shared" si="21"/>
        <v>High</v>
      </c>
      <c r="P365" t="str">
        <f t="shared" si="22"/>
        <v>Approved</v>
      </c>
      <c r="Q365" t="str">
        <f t="shared" si="23"/>
        <v>Low Risk</v>
      </c>
    </row>
    <row r="366" spans="1:17" x14ac:dyDescent="0.3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  <c r="N366">
        <f t="shared" si="20"/>
        <v>6822</v>
      </c>
      <c r="O366" t="str">
        <f t="shared" si="21"/>
        <v>High</v>
      </c>
      <c r="P366" t="str">
        <f t="shared" si="22"/>
        <v>Approved</v>
      </c>
      <c r="Q366" t="str">
        <f t="shared" si="23"/>
        <v>Low Risk</v>
      </c>
    </row>
    <row r="367" spans="1:17" x14ac:dyDescent="0.3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  <c r="N367">
        <f t="shared" si="20"/>
        <v>6216</v>
      </c>
      <c r="O367" t="str">
        <f t="shared" si="21"/>
        <v>High</v>
      </c>
      <c r="P367" t="str">
        <f t="shared" si="22"/>
        <v>Rejected</v>
      </c>
      <c r="Q367" t="str">
        <f t="shared" si="23"/>
        <v>Low Risk</v>
      </c>
    </row>
    <row r="368" spans="1:17" x14ac:dyDescent="0.3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  <c r="N368">
        <f t="shared" si="20"/>
        <v>2500</v>
      </c>
      <c r="O368" t="str">
        <f t="shared" si="21"/>
        <v>Medium</v>
      </c>
      <c r="P368" t="str">
        <f t="shared" si="22"/>
        <v>Rejected</v>
      </c>
      <c r="Q368" t="str">
        <f t="shared" si="23"/>
        <v>Low Risk</v>
      </c>
    </row>
    <row r="369" spans="1:17" x14ac:dyDescent="0.3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J369">
        <v>360</v>
      </c>
      <c r="K369">
        <v>0</v>
      </c>
      <c r="L369" t="s">
        <v>21</v>
      </c>
      <c r="M369" t="s">
        <v>22</v>
      </c>
      <c r="N369">
        <f t="shared" si="20"/>
        <v>5124</v>
      </c>
      <c r="O369" t="str">
        <f t="shared" si="21"/>
        <v>High</v>
      </c>
      <c r="P369" t="str">
        <f t="shared" si="22"/>
        <v>Rejected</v>
      </c>
      <c r="Q369" t="str">
        <f t="shared" si="23"/>
        <v>High Risk</v>
      </c>
    </row>
    <row r="370" spans="1:17" x14ac:dyDescent="0.3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  <c r="N370">
        <f t="shared" si="20"/>
        <v>6325</v>
      </c>
      <c r="O370" t="str">
        <f t="shared" si="21"/>
        <v>High</v>
      </c>
      <c r="P370" t="str">
        <f t="shared" si="22"/>
        <v>Approved</v>
      </c>
      <c r="Q370" t="str">
        <f t="shared" si="23"/>
        <v>Low Risk</v>
      </c>
    </row>
    <row r="371" spans="1:17" x14ac:dyDescent="0.3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  <c r="N371">
        <f t="shared" si="20"/>
        <v>24996</v>
      </c>
      <c r="O371" t="str">
        <f t="shared" si="21"/>
        <v>Very High</v>
      </c>
      <c r="P371" t="str">
        <f t="shared" si="22"/>
        <v>Rejected</v>
      </c>
      <c r="Q371" t="str">
        <f t="shared" si="23"/>
        <v>Low Risk</v>
      </c>
    </row>
    <row r="372" spans="1:17" x14ac:dyDescent="0.3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  <c r="N372">
        <f t="shared" si="20"/>
        <v>15759</v>
      </c>
      <c r="O372" t="str">
        <f t="shared" si="21"/>
        <v>Very High</v>
      </c>
      <c r="P372" t="str">
        <f t="shared" si="22"/>
        <v>Approved</v>
      </c>
      <c r="Q372" t="str">
        <f t="shared" si="23"/>
        <v>Low Risk</v>
      </c>
    </row>
    <row r="373" spans="1:17" x14ac:dyDescent="0.3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  <c r="N373">
        <f t="shared" si="20"/>
        <v>5185</v>
      </c>
      <c r="O373" t="str">
        <f t="shared" si="21"/>
        <v>High</v>
      </c>
      <c r="P373" t="str">
        <f t="shared" si="22"/>
        <v>Approved</v>
      </c>
      <c r="Q373" t="str">
        <f t="shared" si="23"/>
        <v>Low Risk</v>
      </c>
    </row>
    <row r="374" spans="1:17" x14ac:dyDescent="0.3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  <c r="N374">
        <f t="shared" si="20"/>
        <v>17196</v>
      </c>
      <c r="O374" t="str">
        <f t="shared" si="21"/>
        <v>Very High</v>
      </c>
      <c r="P374" t="str">
        <f t="shared" si="22"/>
        <v>Approved</v>
      </c>
      <c r="Q374" t="str">
        <f t="shared" si="23"/>
        <v>Low Risk</v>
      </c>
    </row>
    <row r="375" spans="1:17" x14ac:dyDescent="0.3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  <c r="N375">
        <f t="shared" si="20"/>
        <v>5049</v>
      </c>
      <c r="O375" t="str">
        <f t="shared" si="21"/>
        <v>High</v>
      </c>
      <c r="P375" t="str">
        <f t="shared" si="22"/>
        <v>Rejected</v>
      </c>
      <c r="Q375" t="str">
        <f t="shared" si="23"/>
        <v>High Risk</v>
      </c>
    </row>
    <row r="376" spans="1:17" x14ac:dyDescent="0.3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  <c r="N376">
        <f t="shared" si="20"/>
        <v>4223</v>
      </c>
      <c r="O376" t="str">
        <f t="shared" si="21"/>
        <v>Medium</v>
      </c>
      <c r="P376" t="str">
        <f t="shared" si="22"/>
        <v>Approved</v>
      </c>
      <c r="Q376" t="str">
        <f t="shared" si="23"/>
        <v>Low Risk</v>
      </c>
    </row>
    <row r="377" spans="1:17" x14ac:dyDescent="0.3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  <c r="N377">
        <f t="shared" si="20"/>
        <v>5740</v>
      </c>
      <c r="O377" t="str">
        <f t="shared" si="21"/>
        <v>High</v>
      </c>
      <c r="P377" t="str">
        <f t="shared" si="22"/>
        <v>Approved</v>
      </c>
      <c r="Q377" t="str">
        <f t="shared" si="23"/>
        <v>Low Risk</v>
      </c>
    </row>
    <row r="378" spans="1:17" x14ac:dyDescent="0.3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  <c r="N378">
        <f t="shared" si="20"/>
        <v>13746</v>
      </c>
      <c r="O378" t="str">
        <f t="shared" si="21"/>
        <v>Very High</v>
      </c>
      <c r="P378" t="str">
        <f t="shared" si="22"/>
        <v>Approved</v>
      </c>
      <c r="Q378" t="str">
        <f t="shared" si="23"/>
        <v>Low Risk</v>
      </c>
    </row>
    <row r="379" spans="1:17" x14ac:dyDescent="0.3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K379">
        <v>1</v>
      </c>
      <c r="L379" t="s">
        <v>31</v>
      </c>
      <c r="M379" t="s">
        <v>18</v>
      </c>
      <c r="N379">
        <f t="shared" si="20"/>
        <v>4310</v>
      </c>
      <c r="O379" t="str">
        <f t="shared" si="21"/>
        <v>Medium</v>
      </c>
      <c r="P379" t="str">
        <f t="shared" si="22"/>
        <v>Approved</v>
      </c>
      <c r="Q379" t="str">
        <f t="shared" si="23"/>
        <v>Low Risk</v>
      </c>
    </row>
    <row r="380" spans="1:17" x14ac:dyDescent="0.3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  <c r="N380">
        <f t="shared" si="20"/>
        <v>3069</v>
      </c>
      <c r="O380" t="str">
        <f t="shared" si="21"/>
        <v>Medium</v>
      </c>
      <c r="P380" t="str">
        <f t="shared" si="22"/>
        <v>Rejected</v>
      </c>
      <c r="Q380" t="str">
        <f t="shared" si="23"/>
        <v>Low Risk</v>
      </c>
    </row>
    <row r="381" spans="1:17" x14ac:dyDescent="0.3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  <c r="N381">
        <f t="shared" si="20"/>
        <v>5391</v>
      </c>
      <c r="O381" t="str">
        <f t="shared" si="21"/>
        <v>High</v>
      </c>
      <c r="P381" t="str">
        <f t="shared" si="22"/>
        <v>Approved</v>
      </c>
      <c r="Q381" t="str">
        <f t="shared" si="23"/>
        <v>Low Risk</v>
      </c>
    </row>
    <row r="382" spans="1:17" x14ac:dyDescent="0.3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  <c r="N382">
        <f t="shared" si="20"/>
        <v>5833</v>
      </c>
      <c r="O382" t="str">
        <f t="shared" si="21"/>
        <v>High</v>
      </c>
      <c r="P382" t="str">
        <f t="shared" si="22"/>
        <v>Approved</v>
      </c>
      <c r="Q382" t="str">
        <f t="shared" si="23"/>
        <v>Low Risk</v>
      </c>
    </row>
    <row r="383" spans="1:17" x14ac:dyDescent="0.3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  <c r="N383">
        <f t="shared" si="20"/>
        <v>10173</v>
      </c>
      <c r="O383" t="str">
        <f t="shared" si="21"/>
        <v>Very High</v>
      </c>
      <c r="P383" t="str">
        <f t="shared" si="22"/>
        <v>Approved</v>
      </c>
      <c r="Q383" t="str">
        <f t="shared" si="23"/>
        <v>Low Risk</v>
      </c>
    </row>
    <row r="384" spans="1:17" x14ac:dyDescent="0.3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  <c r="N384">
        <f t="shared" si="20"/>
        <v>6000</v>
      </c>
      <c r="O384" t="str">
        <f t="shared" si="21"/>
        <v>High</v>
      </c>
      <c r="P384" t="str">
        <f t="shared" si="22"/>
        <v>Approved</v>
      </c>
      <c r="Q384" t="str">
        <f t="shared" si="23"/>
        <v>Low Risk</v>
      </c>
    </row>
    <row r="385" spans="1:17" x14ac:dyDescent="0.3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  <c r="N385">
        <f t="shared" si="20"/>
        <v>7167</v>
      </c>
      <c r="O385" t="str">
        <f t="shared" si="21"/>
        <v>High</v>
      </c>
      <c r="P385" t="str">
        <f t="shared" si="22"/>
        <v>Approved</v>
      </c>
      <c r="Q385" t="str">
        <f t="shared" si="23"/>
        <v>Low Risk</v>
      </c>
    </row>
    <row r="386" spans="1:17" x14ac:dyDescent="0.3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  <c r="N386">
        <f t="shared" si="20"/>
        <v>4566</v>
      </c>
      <c r="O386" t="str">
        <f t="shared" si="21"/>
        <v>Medium</v>
      </c>
      <c r="P386" t="str">
        <f t="shared" si="22"/>
        <v>Rejected</v>
      </c>
      <c r="Q386" t="str">
        <f t="shared" si="23"/>
        <v>Low Risk</v>
      </c>
    </row>
    <row r="387" spans="1:17" x14ac:dyDescent="0.3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  <c r="N387">
        <f t="shared" ref="N387:N450" si="24">G387+H387</f>
        <v>3667</v>
      </c>
      <c r="O387" t="str">
        <f t="shared" ref="O387:O450" si="25">IF(N387&lt;2500,"Low",IF(N387&lt;5000,"Medium",IF(N387&lt;10000,"High","Very High")))</f>
        <v>Medium</v>
      </c>
      <c r="P387" t="str">
        <f t="shared" ref="P387:P450" si="26">IF(M387="Y","Approved","Rejected")</f>
        <v>Approved</v>
      </c>
      <c r="Q387" t="str">
        <f t="shared" ref="Q387:Q450" si="27">IF(K387=1,"Low Risk","High Risk")</f>
        <v>Low Risk</v>
      </c>
    </row>
    <row r="388" spans="1:17" x14ac:dyDescent="0.3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  <c r="N388">
        <f t="shared" si="24"/>
        <v>3946</v>
      </c>
      <c r="O388" t="str">
        <f t="shared" si="25"/>
        <v>Medium</v>
      </c>
      <c r="P388" t="str">
        <f t="shared" si="26"/>
        <v>Approved</v>
      </c>
      <c r="Q388" t="str">
        <f t="shared" si="27"/>
        <v>Low Risk</v>
      </c>
    </row>
    <row r="389" spans="1:17" x14ac:dyDescent="0.3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I389">
        <v>128</v>
      </c>
      <c r="J389">
        <v>360</v>
      </c>
      <c r="K389">
        <v>0</v>
      </c>
      <c r="L389" t="s">
        <v>17</v>
      </c>
      <c r="M389" t="s">
        <v>22</v>
      </c>
      <c r="N389">
        <f t="shared" si="24"/>
        <v>6146</v>
      </c>
      <c r="O389" t="str">
        <f t="shared" si="25"/>
        <v>High</v>
      </c>
      <c r="P389" t="str">
        <f t="shared" si="26"/>
        <v>Rejected</v>
      </c>
      <c r="Q389" t="str">
        <f t="shared" si="27"/>
        <v>High Risk</v>
      </c>
    </row>
    <row r="390" spans="1:17" x14ac:dyDescent="0.3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  <c r="N390">
        <f t="shared" si="24"/>
        <v>4750</v>
      </c>
      <c r="O390" t="str">
        <f t="shared" si="25"/>
        <v>Medium</v>
      </c>
      <c r="P390" t="str">
        <f t="shared" si="26"/>
        <v>Approved</v>
      </c>
      <c r="Q390" t="str">
        <f t="shared" si="27"/>
        <v>Low Risk</v>
      </c>
    </row>
    <row r="391" spans="1:17" x14ac:dyDescent="0.3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  <c r="N391">
        <f t="shared" si="24"/>
        <v>5488</v>
      </c>
      <c r="O391" t="str">
        <f t="shared" si="25"/>
        <v>High</v>
      </c>
      <c r="P391" t="str">
        <f t="shared" si="26"/>
        <v>Approved</v>
      </c>
      <c r="Q391" t="str">
        <f t="shared" si="27"/>
        <v>Low Risk</v>
      </c>
    </row>
    <row r="392" spans="1:17" x14ac:dyDescent="0.3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  <c r="N392">
        <f t="shared" si="24"/>
        <v>9167</v>
      </c>
      <c r="O392" t="str">
        <f t="shared" si="25"/>
        <v>High</v>
      </c>
      <c r="P392" t="str">
        <f t="shared" si="26"/>
        <v>Approved</v>
      </c>
      <c r="Q392" t="str">
        <f t="shared" si="27"/>
        <v>Low Risk</v>
      </c>
    </row>
    <row r="393" spans="1:17" x14ac:dyDescent="0.3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  <c r="N393">
        <f t="shared" si="24"/>
        <v>9504</v>
      </c>
      <c r="O393" t="str">
        <f t="shared" si="25"/>
        <v>High</v>
      </c>
      <c r="P393" t="str">
        <f t="shared" si="26"/>
        <v>Approved</v>
      </c>
      <c r="Q393" t="str">
        <f t="shared" si="27"/>
        <v>Low Risk</v>
      </c>
    </row>
    <row r="394" spans="1:17" x14ac:dyDescent="0.3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K394">
        <v>1</v>
      </c>
      <c r="L394" t="s">
        <v>17</v>
      </c>
      <c r="M394" t="s">
        <v>18</v>
      </c>
      <c r="N394">
        <f t="shared" si="24"/>
        <v>4698</v>
      </c>
      <c r="O394" t="str">
        <f t="shared" si="25"/>
        <v>Medium</v>
      </c>
      <c r="P394" t="str">
        <f t="shared" si="26"/>
        <v>Approved</v>
      </c>
      <c r="Q394" t="str">
        <f t="shared" si="27"/>
        <v>Low Risk</v>
      </c>
    </row>
    <row r="395" spans="1:17" x14ac:dyDescent="0.3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  <c r="N395">
        <f t="shared" si="24"/>
        <v>3618</v>
      </c>
      <c r="O395" t="str">
        <f t="shared" si="25"/>
        <v>Medium</v>
      </c>
      <c r="P395" t="str">
        <f t="shared" si="26"/>
        <v>Approved</v>
      </c>
      <c r="Q395" t="str">
        <f t="shared" si="27"/>
        <v>Low Risk</v>
      </c>
    </row>
    <row r="396" spans="1:17" x14ac:dyDescent="0.3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  <c r="N396">
        <f t="shared" si="24"/>
        <v>4500</v>
      </c>
      <c r="O396" t="str">
        <f t="shared" si="25"/>
        <v>Medium</v>
      </c>
      <c r="P396" t="str">
        <f t="shared" si="26"/>
        <v>Approved</v>
      </c>
      <c r="Q396" t="str">
        <f t="shared" si="27"/>
        <v>Low Risk</v>
      </c>
    </row>
    <row r="397" spans="1:17" x14ac:dyDescent="0.3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K397">
        <v>1</v>
      </c>
      <c r="L397" t="s">
        <v>31</v>
      </c>
      <c r="M397" t="s">
        <v>18</v>
      </c>
      <c r="N397">
        <f t="shared" si="24"/>
        <v>3760</v>
      </c>
      <c r="O397" t="str">
        <f t="shared" si="25"/>
        <v>Medium</v>
      </c>
      <c r="P397" t="str">
        <f t="shared" si="26"/>
        <v>Approved</v>
      </c>
      <c r="Q397" t="str">
        <f t="shared" si="27"/>
        <v>Low Risk</v>
      </c>
    </row>
    <row r="398" spans="1:17" x14ac:dyDescent="0.3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  <c r="N398">
        <f t="shared" si="24"/>
        <v>3180</v>
      </c>
      <c r="O398" t="str">
        <f t="shared" si="25"/>
        <v>Medium</v>
      </c>
      <c r="P398" t="str">
        <f t="shared" si="26"/>
        <v>Rejected</v>
      </c>
      <c r="Q398" t="str">
        <f t="shared" si="27"/>
        <v>High Risk</v>
      </c>
    </row>
    <row r="399" spans="1:17" x14ac:dyDescent="0.3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  <c r="N399">
        <f t="shared" si="24"/>
        <v>4492</v>
      </c>
      <c r="O399" t="str">
        <f t="shared" si="25"/>
        <v>Medium</v>
      </c>
      <c r="P399" t="str">
        <f t="shared" si="26"/>
        <v>Approved</v>
      </c>
      <c r="Q399" t="str">
        <f t="shared" si="27"/>
        <v>Low Risk</v>
      </c>
    </row>
    <row r="400" spans="1:17" x14ac:dyDescent="0.3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  <c r="N400">
        <f t="shared" si="24"/>
        <v>5568</v>
      </c>
      <c r="O400" t="str">
        <f t="shared" si="25"/>
        <v>High</v>
      </c>
      <c r="P400" t="str">
        <f t="shared" si="26"/>
        <v>Approved</v>
      </c>
      <c r="Q400" t="str">
        <f t="shared" si="27"/>
        <v>Low Risk</v>
      </c>
    </row>
    <row r="401" spans="1:17" x14ac:dyDescent="0.3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  <c r="N401">
        <f t="shared" si="24"/>
        <v>3300</v>
      </c>
      <c r="O401" t="str">
        <f t="shared" si="25"/>
        <v>Medium</v>
      </c>
      <c r="P401" t="str">
        <f t="shared" si="26"/>
        <v>Rejected</v>
      </c>
      <c r="Q401" t="str">
        <f t="shared" si="27"/>
        <v>High Risk</v>
      </c>
    </row>
    <row r="402" spans="1:17" x14ac:dyDescent="0.3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  <c r="N402">
        <f t="shared" si="24"/>
        <v>2889</v>
      </c>
      <c r="O402" t="str">
        <f t="shared" si="25"/>
        <v>Medium</v>
      </c>
      <c r="P402" t="str">
        <f t="shared" si="26"/>
        <v>Rejected</v>
      </c>
      <c r="Q402" t="str">
        <f t="shared" si="27"/>
        <v>High Risk</v>
      </c>
    </row>
    <row r="403" spans="1:17" x14ac:dyDescent="0.3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  <c r="N403">
        <f t="shared" si="24"/>
        <v>2755</v>
      </c>
      <c r="O403" t="str">
        <f t="shared" si="25"/>
        <v>Medium</v>
      </c>
      <c r="P403" t="str">
        <f t="shared" si="26"/>
        <v>Rejected</v>
      </c>
      <c r="Q403" t="str">
        <f t="shared" si="27"/>
        <v>Low Risk</v>
      </c>
    </row>
    <row r="404" spans="1:17" x14ac:dyDescent="0.3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  <c r="N404">
        <f t="shared" si="24"/>
        <v>22500</v>
      </c>
      <c r="O404" t="str">
        <f t="shared" si="25"/>
        <v>Very High</v>
      </c>
      <c r="P404" t="str">
        <f t="shared" si="26"/>
        <v>Approved</v>
      </c>
      <c r="Q404" t="str">
        <f t="shared" si="27"/>
        <v>Low Risk</v>
      </c>
    </row>
    <row r="405" spans="1:17" x14ac:dyDescent="0.3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  <c r="N405">
        <f t="shared" si="24"/>
        <v>1963</v>
      </c>
      <c r="O405" t="str">
        <f t="shared" si="25"/>
        <v>Low</v>
      </c>
      <c r="P405" t="str">
        <f t="shared" si="26"/>
        <v>Approved</v>
      </c>
      <c r="Q405" t="str">
        <f t="shared" si="27"/>
        <v>Low Risk</v>
      </c>
    </row>
    <row r="406" spans="1:17" x14ac:dyDescent="0.3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  <c r="N406">
        <f t="shared" si="24"/>
        <v>7441</v>
      </c>
      <c r="O406" t="str">
        <f t="shared" si="25"/>
        <v>High</v>
      </c>
      <c r="P406" t="str">
        <f t="shared" si="26"/>
        <v>Rejected</v>
      </c>
      <c r="Q406" t="str">
        <f t="shared" si="27"/>
        <v>Low Risk</v>
      </c>
    </row>
    <row r="407" spans="1:17" x14ac:dyDescent="0.3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  <c r="N407">
        <f t="shared" si="24"/>
        <v>4547</v>
      </c>
      <c r="O407" t="str">
        <f t="shared" si="25"/>
        <v>Medium</v>
      </c>
      <c r="P407" t="str">
        <f t="shared" si="26"/>
        <v>Approved</v>
      </c>
      <c r="Q407" t="str">
        <f t="shared" si="27"/>
        <v>Low Risk</v>
      </c>
    </row>
    <row r="408" spans="1:17" x14ac:dyDescent="0.3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  <c r="N408">
        <f t="shared" si="24"/>
        <v>4567</v>
      </c>
      <c r="O408" t="str">
        <f t="shared" si="25"/>
        <v>Medium</v>
      </c>
      <c r="P408" t="str">
        <f t="shared" si="26"/>
        <v>Approved</v>
      </c>
      <c r="Q408" t="str">
        <f t="shared" si="27"/>
        <v>Low Risk</v>
      </c>
    </row>
    <row r="409" spans="1:17" x14ac:dyDescent="0.3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  <c r="N409">
        <f t="shared" si="24"/>
        <v>2213</v>
      </c>
      <c r="O409" t="str">
        <f t="shared" si="25"/>
        <v>Low</v>
      </c>
      <c r="P409" t="str">
        <f t="shared" si="26"/>
        <v>Approved</v>
      </c>
      <c r="Q409" t="str">
        <f t="shared" si="27"/>
        <v>Low Risk</v>
      </c>
    </row>
    <row r="410" spans="1:17" x14ac:dyDescent="0.3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  <c r="N410">
        <f t="shared" si="24"/>
        <v>8300</v>
      </c>
      <c r="O410" t="str">
        <f t="shared" si="25"/>
        <v>High</v>
      </c>
      <c r="P410" t="str">
        <f t="shared" si="26"/>
        <v>Rejected</v>
      </c>
      <c r="Q410" t="str">
        <f t="shared" si="27"/>
        <v>High Risk</v>
      </c>
    </row>
    <row r="411" spans="1:17" x14ac:dyDescent="0.3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  <c r="N411">
        <f t="shared" si="24"/>
        <v>81000</v>
      </c>
      <c r="O411" t="str">
        <f t="shared" si="25"/>
        <v>Very High</v>
      </c>
      <c r="P411" t="str">
        <f t="shared" si="26"/>
        <v>Rejected</v>
      </c>
      <c r="Q411" t="str">
        <f t="shared" si="27"/>
        <v>High Risk</v>
      </c>
    </row>
    <row r="412" spans="1:17" x14ac:dyDescent="0.3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  <c r="N412">
        <f t="shared" si="24"/>
        <v>3867</v>
      </c>
      <c r="O412" t="str">
        <f t="shared" si="25"/>
        <v>Medium</v>
      </c>
      <c r="P412" t="str">
        <f t="shared" si="26"/>
        <v>Rejected</v>
      </c>
      <c r="Q412" t="str">
        <f t="shared" si="27"/>
        <v>Low Risk</v>
      </c>
    </row>
    <row r="413" spans="1:17" x14ac:dyDescent="0.3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K413">
        <v>1</v>
      </c>
      <c r="L413" t="s">
        <v>17</v>
      </c>
      <c r="M413" t="s">
        <v>18</v>
      </c>
      <c r="N413">
        <f t="shared" si="24"/>
        <v>6256</v>
      </c>
      <c r="O413" t="str">
        <f t="shared" si="25"/>
        <v>High</v>
      </c>
      <c r="P413" t="str">
        <f t="shared" si="26"/>
        <v>Approved</v>
      </c>
      <c r="Q413" t="str">
        <f t="shared" si="27"/>
        <v>Low Risk</v>
      </c>
    </row>
    <row r="414" spans="1:17" x14ac:dyDescent="0.3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  <c r="N414">
        <f t="shared" si="24"/>
        <v>6096</v>
      </c>
      <c r="O414" t="str">
        <f t="shared" si="25"/>
        <v>High</v>
      </c>
      <c r="P414" t="str">
        <f t="shared" si="26"/>
        <v>Rejected</v>
      </c>
      <c r="Q414" t="str">
        <f t="shared" si="27"/>
        <v>High Risk</v>
      </c>
    </row>
    <row r="415" spans="1:17" x14ac:dyDescent="0.3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  <c r="N415">
        <f t="shared" si="24"/>
        <v>4286</v>
      </c>
      <c r="O415" t="str">
        <f t="shared" si="25"/>
        <v>Medium</v>
      </c>
      <c r="P415" t="str">
        <f t="shared" si="26"/>
        <v>Approved</v>
      </c>
      <c r="Q415" t="str">
        <f t="shared" si="27"/>
        <v>Low Risk</v>
      </c>
    </row>
    <row r="416" spans="1:17" x14ac:dyDescent="0.3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  <c r="N416">
        <f t="shared" si="24"/>
        <v>5386</v>
      </c>
      <c r="O416" t="str">
        <f t="shared" si="25"/>
        <v>High</v>
      </c>
      <c r="P416" t="str">
        <f t="shared" si="26"/>
        <v>Rejected</v>
      </c>
      <c r="Q416" t="str">
        <f t="shared" si="27"/>
        <v>High Risk</v>
      </c>
    </row>
    <row r="417" spans="1:17" x14ac:dyDescent="0.3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  <c r="N417">
        <f t="shared" si="24"/>
        <v>2995</v>
      </c>
      <c r="O417" t="str">
        <f t="shared" si="25"/>
        <v>Medium</v>
      </c>
      <c r="P417" t="str">
        <f t="shared" si="26"/>
        <v>Approved</v>
      </c>
      <c r="Q417" t="str">
        <f t="shared" si="27"/>
        <v>Low Risk</v>
      </c>
    </row>
    <row r="418" spans="1:17" x14ac:dyDescent="0.3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  <c r="N418">
        <f t="shared" si="24"/>
        <v>2600</v>
      </c>
      <c r="O418" t="str">
        <f t="shared" si="25"/>
        <v>Medium</v>
      </c>
      <c r="P418" t="str">
        <f t="shared" si="26"/>
        <v>Rejected</v>
      </c>
      <c r="Q418" t="str">
        <f t="shared" si="27"/>
        <v>Low Risk</v>
      </c>
    </row>
    <row r="419" spans="1:17" x14ac:dyDescent="0.3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  <c r="N419">
        <f t="shared" si="24"/>
        <v>21600</v>
      </c>
      <c r="O419" t="str">
        <f t="shared" si="25"/>
        <v>Very High</v>
      </c>
      <c r="P419" t="str">
        <f t="shared" si="26"/>
        <v>Rejected</v>
      </c>
      <c r="Q419" t="str">
        <f t="shared" si="27"/>
        <v>Low Risk</v>
      </c>
    </row>
    <row r="420" spans="1:17" x14ac:dyDescent="0.3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  <c r="N420">
        <f t="shared" si="24"/>
        <v>3798</v>
      </c>
      <c r="O420" t="str">
        <f t="shared" si="25"/>
        <v>Medium</v>
      </c>
      <c r="P420" t="str">
        <f t="shared" si="26"/>
        <v>Approved</v>
      </c>
      <c r="Q420" t="str">
        <f t="shared" si="27"/>
        <v>Low Risk</v>
      </c>
    </row>
    <row r="421" spans="1:17" x14ac:dyDescent="0.3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  <c r="N421">
        <f t="shared" si="24"/>
        <v>4663</v>
      </c>
      <c r="O421" t="str">
        <f t="shared" si="25"/>
        <v>Medium</v>
      </c>
      <c r="P421" t="str">
        <f t="shared" si="26"/>
        <v>Approved</v>
      </c>
      <c r="Q421" t="str">
        <f t="shared" si="27"/>
        <v>Low Risk</v>
      </c>
    </row>
    <row r="422" spans="1:17" x14ac:dyDescent="0.3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  <c r="N422">
        <f t="shared" si="24"/>
        <v>5829</v>
      </c>
      <c r="O422" t="str">
        <f t="shared" si="25"/>
        <v>High</v>
      </c>
      <c r="P422" t="str">
        <f t="shared" si="26"/>
        <v>Approved</v>
      </c>
      <c r="Q422" t="str">
        <f t="shared" si="27"/>
        <v>Low Risk</v>
      </c>
    </row>
    <row r="423" spans="1:17" x14ac:dyDescent="0.3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J423">
        <v>360</v>
      </c>
      <c r="K423">
        <v>0</v>
      </c>
      <c r="L423" t="s">
        <v>17</v>
      </c>
      <c r="M423" t="s">
        <v>22</v>
      </c>
      <c r="N423">
        <f t="shared" si="24"/>
        <v>2720</v>
      </c>
      <c r="O423" t="str">
        <f t="shared" si="25"/>
        <v>Medium</v>
      </c>
      <c r="P423" t="str">
        <f t="shared" si="26"/>
        <v>Rejected</v>
      </c>
      <c r="Q423" t="str">
        <f t="shared" si="27"/>
        <v>High Risk</v>
      </c>
    </row>
    <row r="424" spans="1:17" x14ac:dyDescent="0.3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  <c r="N424">
        <f t="shared" si="24"/>
        <v>3539</v>
      </c>
      <c r="O424" t="str">
        <f t="shared" si="25"/>
        <v>Medium</v>
      </c>
      <c r="P424" t="str">
        <f t="shared" si="26"/>
        <v>Approved</v>
      </c>
      <c r="Q424" t="str">
        <f t="shared" si="27"/>
        <v>Low Risk</v>
      </c>
    </row>
    <row r="425" spans="1:17" x14ac:dyDescent="0.3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J425">
        <v>360</v>
      </c>
      <c r="K425">
        <v>0</v>
      </c>
      <c r="L425" t="s">
        <v>17</v>
      </c>
      <c r="M425" t="s">
        <v>22</v>
      </c>
      <c r="N425">
        <f t="shared" si="24"/>
        <v>8917</v>
      </c>
      <c r="O425" t="str">
        <f t="shared" si="25"/>
        <v>High</v>
      </c>
      <c r="P425" t="str">
        <f t="shared" si="26"/>
        <v>Rejected</v>
      </c>
      <c r="Q425" t="str">
        <f t="shared" si="27"/>
        <v>High Risk</v>
      </c>
    </row>
    <row r="426" spans="1:17" x14ac:dyDescent="0.3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  <c r="N426">
        <f t="shared" si="24"/>
        <v>14880</v>
      </c>
      <c r="O426" t="str">
        <f t="shared" si="25"/>
        <v>Very High</v>
      </c>
      <c r="P426" t="str">
        <f t="shared" si="26"/>
        <v>Approved</v>
      </c>
      <c r="Q426" t="str">
        <f t="shared" si="27"/>
        <v>Low Risk</v>
      </c>
    </row>
    <row r="427" spans="1:17" x14ac:dyDescent="0.3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  <c r="N427">
        <f t="shared" si="24"/>
        <v>6966</v>
      </c>
      <c r="O427" t="str">
        <f t="shared" si="25"/>
        <v>High</v>
      </c>
      <c r="P427" t="str">
        <f t="shared" si="26"/>
        <v>Approved</v>
      </c>
      <c r="Q427" t="str">
        <f t="shared" si="27"/>
        <v>Low Risk</v>
      </c>
    </row>
    <row r="428" spans="1:17" x14ac:dyDescent="0.3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  <c r="N428">
        <f t="shared" si="24"/>
        <v>4606</v>
      </c>
      <c r="O428" t="str">
        <f t="shared" si="25"/>
        <v>Medium</v>
      </c>
      <c r="P428" t="str">
        <f t="shared" si="26"/>
        <v>Rejected</v>
      </c>
      <c r="Q428" t="str">
        <f t="shared" si="27"/>
        <v>Low Risk</v>
      </c>
    </row>
    <row r="429" spans="1:17" x14ac:dyDescent="0.3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  <c r="N429">
        <f t="shared" si="24"/>
        <v>5935</v>
      </c>
      <c r="O429" t="str">
        <f t="shared" si="25"/>
        <v>High</v>
      </c>
      <c r="P429" t="str">
        <f t="shared" si="26"/>
        <v>Approved</v>
      </c>
      <c r="Q429" t="str">
        <f t="shared" si="27"/>
        <v>Low Risk</v>
      </c>
    </row>
    <row r="430" spans="1:17" x14ac:dyDescent="0.3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  <c r="N430">
        <f t="shared" si="24"/>
        <v>2936.1200008400001</v>
      </c>
      <c r="O430" t="str">
        <f t="shared" si="25"/>
        <v>Medium</v>
      </c>
      <c r="P430" t="str">
        <f t="shared" si="26"/>
        <v>Approved</v>
      </c>
      <c r="Q430" t="str">
        <f t="shared" si="27"/>
        <v>Low Risk</v>
      </c>
    </row>
    <row r="431" spans="1:17" x14ac:dyDescent="0.3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  <c r="N431">
        <f t="shared" si="24"/>
        <v>2717</v>
      </c>
      <c r="O431" t="str">
        <f t="shared" si="25"/>
        <v>Medium</v>
      </c>
      <c r="P431" t="str">
        <f t="shared" si="26"/>
        <v>Approved</v>
      </c>
      <c r="Q431" t="str">
        <f t="shared" si="27"/>
        <v>Low Risk</v>
      </c>
    </row>
    <row r="432" spans="1:17" x14ac:dyDescent="0.3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  <c r="N432">
        <f t="shared" si="24"/>
        <v>8624</v>
      </c>
      <c r="O432" t="str">
        <f t="shared" si="25"/>
        <v>High</v>
      </c>
      <c r="P432" t="str">
        <f t="shared" si="26"/>
        <v>Approved</v>
      </c>
      <c r="Q432" t="str">
        <f t="shared" si="27"/>
        <v>Low Risk</v>
      </c>
    </row>
    <row r="433" spans="1:17" x14ac:dyDescent="0.3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  <c r="N433">
        <f t="shared" si="24"/>
        <v>6500</v>
      </c>
      <c r="O433" t="str">
        <f t="shared" si="25"/>
        <v>High</v>
      </c>
      <c r="P433" t="str">
        <f t="shared" si="26"/>
        <v>Rejected</v>
      </c>
      <c r="Q433" t="str">
        <f t="shared" si="27"/>
        <v>High Risk</v>
      </c>
    </row>
    <row r="434" spans="1:17" x14ac:dyDescent="0.3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  <c r="N434">
        <f t="shared" si="24"/>
        <v>12876</v>
      </c>
      <c r="O434" t="str">
        <f t="shared" si="25"/>
        <v>Very High</v>
      </c>
      <c r="P434" t="str">
        <f t="shared" si="26"/>
        <v>Approved</v>
      </c>
      <c r="Q434" t="str">
        <f t="shared" si="27"/>
        <v>Low Risk</v>
      </c>
    </row>
    <row r="435" spans="1:17" x14ac:dyDescent="0.3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  <c r="N435">
        <f t="shared" si="24"/>
        <v>4765</v>
      </c>
      <c r="O435" t="str">
        <f t="shared" si="25"/>
        <v>Medium</v>
      </c>
      <c r="P435" t="str">
        <f t="shared" si="26"/>
        <v>Approved</v>
      </c>
      <c r="Q435" t="str">
        <f t="shared" si="27"/>
        <v>Low Risk</v>
      </c>
    </row>
    <row r="436" spans="1:17" x14ac:dyDescent="0.3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  <c r="N436">
        <f t="shared" si="24"/>
        <v>3750</v>
      </c>
      <c r="O436" t="str">
        <f t="shared" si="25"/>
        <v>Medium</v>
      </c>
      <c r="P436" t="str">
        <f t="shared" si="26"/>
        <v>Approved</v>
      </c>
      <c r="Q436" t="str">
        <f t="shared" si="27"/>
        <v>Low Risk</v>
      </c>
    </row>
    <row r="437" spans="1:17" x14ac:dyDescent="0.3">
      <c r="A437" t="s">
        <v>460</v>
      </c>
      <c r="B437" t="s">
        <v>42</v>
      </c>
      <c r="C437" t="s">
        <v>20</v>
      </c>
      <c r="D437">
        <v>0</v>
      </c>
      <c r="E437" t="s">
        <v>16</v>
      </c>
      <c r="F437" t="s">
        <v>15</v>
      </c>
      <c r="G437">
        <v>10047</v>
      </c>
      <c r="H437">
        <v>0</v>
      </c>
      <c r="I437">
        <v>128</v>
      </c>
      <c r="J437">
        <v>240</v>
      </c>
      <c r="K437">
        <v>1</v>
      </c>
      <c r="L437" t="s">
        <v>31</v>
      </c>
      <c r="M437" t="s">
        <v>18</v>
      </c>
      <c r="N437">
        <f t="shared" si="24"/>
        <v>10047</v>
      </c>
      <c r="O437" t="str">
        <f t="shared" si="25"/>
        <v>Very High</v>
      </c>
      <c r="P437" t="str">
        <f t="shared" si="26"/>
        <v>Approved</v>
      </c>
      <c r="Q437" t="str">
        <f t="shared" si="27"/>
        <v>Low Risk</v>
      </c>
    </row>
    <row r="438" spans="1:17" x14ac:dyDescent="0.3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  <c r="N438">
        <f t="shared" si="24"/>
        <v>3777</v>
      </c>
      <c r="O438" t="str">
        <f t="shared" si="25"/>
        <v>Medium</v>
      </c>
      <c r="P438" t="str">
        <f t="shared" si="26"/>
        <v>Approved</v>
      </c>
      <c r="Q438" t="str">
        <f t="shared" si="27"/>
        <v>Low Risk</v>
      </c>
    </row>
    <row r="439" spans="1:17" x14ac:dyDescent="0.3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I439">
        <v>128</v>
      </c>
      <c r="J439">
        <v>360</v>
      </c>
      <c r="K439">
        <v>1</v>
      </c>
      <c r="L439" t="s">
        <v>17</v>
      </c>
      <c r="M439" t="s">
        <v>18</v>
      </c>
      <c r="N439">
        <f t="shared" si="24"/>
        <v>3338</v>
      </c>
      <c r="O439" t="str">
        <f t="shared" si="25"/>
        <v>Medium</v>
      </c>
      <c r="P439" t="str">
        <f t="shared" si="26"/>
        <v>Approved</v>
      </c>
      <c r="Q439" t="str">
        <f t="shared" si="27"/>
        <v>Low Risk</v>
      </c>
    </row>
    <row r="440" spans="1:17" x14ac:dyDescent="0.3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  <c r="N440">
        <f t="shared" si="24"/>
        <v>10416</v>
      </c>
      <c r="O440" t="str">
        <f t="shared" si="25"/>
        <v>Very High</v>
      </c>
      <c r="P440" t="str">
        <f t="shared" si="26"/>
        <v>Rejected</v>
      </c>
      <c r="Q440" t="str">
        <f t="shared" si="27"/>
        <v>High Risk</v>
      </c>
    </row>
    <row r="441" spans="1:17" x14ac:dyDescent="0.3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  <c r="N441">
        <f t="shared" si="24"/>
        <v>7142</v>
      </c>
      <c r="O441" t="str">
        <f t="shared" si="25"/>
        <v>High</v>
      </c>
      <c r="P441" t="str">
        <f t="shared" si="26"/>
        <v>Approved</v>
      </c>
      <c r="Q441" t="str">
        <f t="shared" si="27"/>
        <v>Low Risk</v>
      </c>
    </row>
    <row r="442" spans="1:17" x14ac:dyDescent="0.3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  <c r="N442">
        <f t="shared" si="24"/>
        <v>8724</v>
      </c>
      <c r="O442" t="str">
        <f t="shared" si="25"/>
        <v>High</v>
      </c>
      <c r="P442" t="str">
        <f t="shared" si="26"/>
        <v>Approved</v>
      </c>
      <c r="Q442" t="str">
        <f t="shared" si="27"/>
        <v>Low Risk</v>
      </c>
    </row>
    <row r="443" spans="1:17" x14ac:dyDescent="0.3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  <c r="N443">
        <f t="shared" si="24"/>
        <v>9734</v>
      </c>
      <c r="O443" t="str">
        <f t="shared" si="25"/>
        <v>High</v>
      </c>
      <c r="P443" t="str">
        <f t="shared" si="26"/>
        <v>Approved</v>
      </c>
      <c r="Q443" t="str">
        <f t="shared" si="27"/>
        <v>Low Risk</v>
      </c>
    </row>
    <row r="444" spans="1:17" x14ac:dyDescent="0.3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  <c r="N444">
        <f t="shared" si="24"/>
        <v>6700</v>
      </c>
      <c r="O444" t="str">
        <f t="shared" si="25"/>
        <v>High</v>
      </c>
      <c r="P444" t="str">
        <f t="shared" si="26"/>
        <v>Approved</v>
      </c>
      <c r="Q444" t="str">
        <f t="shared" si="27"/>
        <v>Low Risk</v>
      </c>
    </row>
    <row r="445" spans="1:17" x14ac:dyDescent="0.3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  <c r="N445">
        <f t="shared" si="24"/>
        <v>37719</v>
      </c>
      <c r="O445" t="str">
        <f t="shared" si="25"/>
        <v>Very High</v>
      </c>
      <c r="P445" t="str">
        <f t="shared" si="26"/>
        <v>Approved</v>
      </c>
      <c r="Q445" t="str">
        <f t="shared" si="27"/>
        <v>Low Risk</v>
      </c>
    </row>
    <row r="446" spans="1:17" x14ac:dyDescent="0.3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K446">
        <v>1</v>
      </c>
      <c r="L446" t="s">
        <v>21</v>
      </c>
      <c r="M446" t="s">
        <v>18</v>
      </c>
      <c r="N446">
        <f t="shared" si="24"/>
        <v>15666</v>
      </c>
      <c r="O446" t="str">
        <f t="shared" si="25"/>
        <v>Very High</v>
      </c>
      <c r="P446" t="str">
        <f t="shared" si="26"/>
        <v>Approved</v>
      </c>
      <c r="Q446" t="str">
        <f t="shared" si="27"/>
        <v>Low Risk</v>
      </c>
    </row>
    <row r="447" spans="1:17" x14ac:dyDescent="0.3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  <c r="N447">
        <f t="shared" si="24"/>
        <v>4676</v>
      </c>
      <c r="O447" t="str">
        <f t="shared" si="25"/>
        <v>Medium</v>
      </c>
      <c r="P447" t="str">
        <f t="shared" si="26"/>
        <v>Approved</v>
      </c>
      <c r="Q447" t="str">
        <f t="shared" si="27"/>
        <v>Low Risk</v>
      </c>
    </row>
    <row r="448" spans="1:17" x14ac:dyDescent="0.3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  <c r="N448">
        <f t="shared" si="24"/>
        <v>4652</v>
      </c>
      <c r="O448" t="str">
        <f t="shared" si="25"/>
        <v>Medium</v>
      </c>
      <c r="P448" t="str">
        <f t="shared" si="26"/>
        <v>Approved</v>
      </c>
      <c r="Q448" t="str">
        <f t="shared" si="27"/>
        <v>Low Risk</v>
      </c>
    </row>
    <row r="449" spans="1:17" x14ac:dyDescent="0.3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  <c r="N449">
        <f t="shared" si="24"/>
        <v>4915</v>
      </c>
      <c r="O449" t="str">
        <f t="shared" si="25"/>
        <v>Medium</v>
      </c>
      <c r="P449" t="str">
        <f t="shared" si="26"/>
        <v>Rejected</v>
      </c>
      <c r="Q449" t="str">
        <f t="shared" si="27"/>
        <v>Low Risk</v>
      </c>
    </row>
    <row r="450" spans="1:17" x14ac:dyDescent="0.3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  <c r="N450">
        <f t="shared" si="24"/>
        <v>5050</v>
      </c>
      <c r="O450" t="str">
        <f t="shared" si="25"/>
        <v>High</v>
      </c>
      <c r="P450" t="str">
        <f t="shared" si="26"/>
        <v>Rejected</v>
      </c>
      <c r="Q450" t="str">
        <f t="shared" si="27"/>
        <v>High Risk</v>
      </c>
    </row>
    <row r="451" spans="1:17" x14ac:dyDescent="0.3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K451">
        <v>1</v>
      </c>
      <c r="L451" t="s">
        <v>31</v>
      </c>
      <c r="M451" t="s">
        <v>22</v>
      </c>
      <c r="N451">
        <f t="shared" ref="N451:N514" si="28">G451+H451</f>
        <v>4311</v>
      </c>
      <c r="O451" t="str">
        <f t="shared" ref="O451:O514" si="29">IF(N451&lt;2500,"Low",IF(N451&lt;5000,"Medium",IF(N451&lt;10000,"High","Very High")))</f>
        <v>Medium</v>
      </c>
      <c r="P451" t="str">
        <f t="shared" ref="P451:P514" si="30">IF(M451="Y","Approved","Rejected")</f>
        <v>Rejected</v>
      </c>
      <c r="Q451" t="str">
        <f t="shared" ref="Q451:Q514" si="31">IF(K451=1,"Low Risk","High Risk")</f>
        <v>Low Risk</v>
      </c>
    </row>
    <row r="452" spans="1:17" x14ac:dyDescent="0.3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  <c r="N452">
        <f t="shared" si="28"/>
        <v>3564</v>
      </c>
      <c r="O452" t="str">
        <f t="shared" si="29"/>
        <v>Medium</v>
      </c>
      <c r="P452" t="str">
        <f t="shared" si="30"/>
        <v>Rejected</v>
      </c>
      <c r="Q452" t="str">
        <f t="shared" si="31"/>
        <v>High Risk</v>
      </c>
    </row>
    <row r="453" spans="1:17" x14ac:dyDescent="0.3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K453">
        <v>1</v>
      </c>
      <c r="L453" t="s">
        <v>17</v>
      </c>
      <c r="M453" t="s">
        <v>18</v>
      </c>
      <c r="N453">
        <f t="shared" si="28"/>
        <v>3414</v>
      </c>
      <c r="O453" t="str">
        <f t="shared" si="29"/>
        <v>Medium</v>
      </c>
      <c r="P453" t="str">
        <f t="shared" si="30"/>
        <v>Approved</v>
      </c>
      <c r="Q453" t="str">
        <f t="shared" si="31"/>
        <v>Low Risk</v>
      </c>
    </row>
    <row r="454" spans="1:17" x14ac:dyDescent="0.3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  <c r="N454">
        <f t="shared" si="28"/>
        <v>5681</v>
      </c>
      <c r="O454" t="str">
        <f t="shared" si="29"/>
        <v>High</v>
      </c>
      <c r="P454" t="str">
        <f t="shared" si="30"/>
        <v>Rejected</v>
      </c>
      <c r="Q454" t="str">
        <f t="shared" si="31"/>
        <v>High Risk</v>
      </c>
    </row>
    <row r="455" spans="1:17" x14ac:dyDescent="0.3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  <c r="N455">
        <f t="shared" si="28"/>
        <v>4949</v>
      </c>
      <c r="O455" t="str">
        <f t="shared" si="29"/>
        <v>Medium</v>
      </c>
      <c r="P455" t="str">
        <f t="shared" si="30"/>
        <v>Approved</v>
      </c>
      <c r="Q455" t="str">
        <f t="shared" si="31"/>
        <v>High Risk</v>
      </c>
    </row>
    <row r="456" spans="1:17" x14ac:dyDescent="0.3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  <c r="N456">
        <f t="shared" si="28"/>
        <v>7085</v>
      </c>
      <c r="O456" t="str">
        <f t="shared" si="29"/>
        <v>High</v>
      </c>
      <c r="P456" t="str">
        <f t="shared" si="30"/>
        <v>Approved</v>
      </c>
      <c r="Q456" t="str">
        <f t="shared" si="31"/>
        <v>Low Risk</v>
      </c>
    </row>
    <row r="457" spans="1:17" x14ac:dyDescent="0.3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  <c r="N457">
        <f t="shared" si="28"/>
        <v>3859</v>
      </c>
      <c r="O457" t="str">
        <f t="shared" si="29"/>
        <v>Medium</v>
      </c>
      <c r="P457" t="str">
        <f t="shared" si="30"/>
        <v>Approved</v>
      </c>
      <c r="Q457" t="str">
        <f t="shared" si="31"/>
        <v>Low Risk</v>
      </c>
    </row>
    <row r="458" spans="1:17" x14ac:dyDescent="0.3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  <c r="N458">
        <f t="shared" si="28"/>
        <v>4301</v>
      </c>
      <c r="O458" t="str">
        <f t="shared" si="29"/>
        <v>Medium</v>
      </c>
      <c r="P458" t="str">
        <f t="shared" si="30"/>
        <v>Approved</v>
      </c>
      <c r="Q458" t="str">
        <f t="shared" si="31"/>
        <v>Low Risk</v>
      </c>
    </row>
    <row r="459" spans="1:17" x14ac:dyDescent="0.3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  <c r="N459">
        <f t="shared" si="28"/>
        <v>6277</v>
      </c>
      <c r="O459" t="str">
        <f t="shared" si="29"/>
        <v>High</v>
      </c>
      <c r="P459" t="str">
        <f t="shared" si="30"/>
        <v>Rejected</v>
      </c>
      <c r="Q459" t="str">
        <f t="shared" si="31"/>
        <v>Low Risk</v>
      </c>
    </row>
    <row r="460" spans="1:17" x14ac:dyDescent="0.3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  <c r="N460">
        <f t="shared" si="28"/>
        <v>4354</v>
      </c>
      <c r="O460" t="str">
        <f t="shared" si="29"/>
        <v>Medium</v>
      </c>
      <c r="P460" t="str">
        <f t="shared" si="30"/>
        <v>Approved</v>
      </c>
      <c r="Q460" t="str">
        <f t="shared" si="31"/>
        <v>Low Risk</v>
      </c>
    </row>
    <row r="461" spans="1:17" x14ac:dyDescent="0.3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  <c r="N461">
        <f t="shared" si="28"/>
        <v>8334</v>
      </c>
      <c r="O461" t="str">
        <f t="shared" si="29"/>
        <v>High</v>
      </c>
      <c r="P461" t="str">
        <f t="shared" si="30"/>
        <v>Rejected</v>
      </c>
      <c r="Q461" t="str">
        <f t="shared" si="31"/>
        <v>Low Risk</v>
      </c>
    </row>
    <row r="462" spans="1:17" x14ac:dyDescent="0.3">
      <c r="A462" t="s">
        <v>485</v>
      </c>
      <c r="B462" t="s">
        <v>14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K462">
        <v>1</v>
      </c>
      <c r="L462" t="s">
        <v>31</v>
      </c>
      <c r="M462" t="s">
        <v>18</v>
      </c>
      <c r="N462">
        <f t="shared" si="28"/>
        <v>6166</v>
      </c>
      <c r="O462" t="str">
        <f t="shared" si="29"/>
        <v>High</v>
      </c>
      <c r="P462" t="str">
        <f t="shared" si="30"/>
        <v>Approved</v>
      </c>
      <c r="Q462" t="str">
        <f t="shared" si="31"/>
        <v>Low Risk</v>
      </c>
    </row>
    <row r="463" spans="1:17" x14ac:dyDescent="0.3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  <c r="N463">
        <f t="shared" si="28"/>
        <v>7740</v>
      </c>
      <c r="O463" t="str">
        <f t="shared" si="29"/>
        <v>High</v>
      </c>
      <c r="P463" t="str">
        <f t="shared" si="30"/>
        <v>Approved</v>
      </c>
      <c r="Q463" t="str">
        <f t="shared" si="31"/>
        <v>Low Risk</v>
      </c>
    </row>
    <row r="464" spans="1:17" x14ac:dyDescent="0.3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  <c r="N464">
        <f t="shared" si="28"/>
        <v>5203</v>
      </c>
      <c r="O464" t="str">
        <f t="shared" si="29"/>
        <v>High</v>
      </c>
      <c r="P464" t="str">
        <f t="shared" si="30"/>
        <v>Approved</v>
      </c>
      <c r="Q464" t="str">
        <f t="shared" si="31"/>
        <v>Low Risk</v>
      </c>
    </row>
    <row r="465" spans="1:17" x14ac:dyDescent="0.3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  <c r="N465">
        <f t="shared" si="28"/>
        <v>5191</v>
      </c>
      <c r="O465" t="str">
        <f t="shared" si="29"/>
        <v>High</v>
      </c>
      <c r="P465" t="str">
        <f t="shared" si="30"/>
        <v>Approved</v>
      </c>
      <c r="Q465" t="str">
        <f t="shared" si="31"/>
        <v>Low Risk</v>
      </c>
    </row>
    <row r="466" spans="1:17" x14ac:dyDescent="0.3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  <c r="N466">
        <f t="shared" si="28"/>
        <v>4166</v>
      </c>
      <c r="O466" t="str">
        <f t="shared" si="29"/>
        <v>Medium</v>
      </c>
      <c r="P466" t="str">
        <f t="shared" si="30"/>
        <v>Rejected</v>
      </c>
      <c r="Q466" t="str">
        <f t="shared" si="31"/>
        <v>High Risk</v>
      </c>
    </row>
    <row r="467" spans="1:17" x14ac:dyDescent="0.3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  <c r="N467">
        <f t="shared" si="28"/>
        <v>6000</v>
      </c>
      <c r="O467" t="str">
        <f t="shared" si="29"/>
        <v>High</v>
      </c>
      <c r="P467" t="str">
        <f t="shared" si="30"/>
        <v>Approved</v>
      </c>
      <c r="Q467" t="str">
        <f t="shared" si="31"/>
        <v>Low Risk</v>
      </c>
    </row>
    <row r="468" spans="1:17" x14ac:dyDescent="0.3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  <c r="N468">
        <f t="shared" si="28"/>
        <v>4611</v>
      </c>
      <c r="O468" t="str">
        <f t="shared" si="29"/>
        <v>Medium</v>
      </c>
      <c r="P468" t="str">
        <f t="shared" si="30"/>
        <v>Rejected</v>
      </c>
      <c r="Q468" t="str">
        <f t="shared" si="31"/>
        <v>High Risk</v>
      </c>
    </row>
    <row r="469" spans="1:17" x14ac:dyDescent="0.3">
      <c r="A469" t="s">
        <v>492</v>
      </c>
      <c r="B469" t="s">
        <v>14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  <c r="N469">
        <f t="shared" si="28"/>
        <v>16692</v>
      </c>
      <c r="O469" t="str">
        <f t="shared" si="29"/>
        <v>Very High</v>
      </c>
      <c r="P469" t="str">
        <f t="shared" si="30"/>
        <v>Approved</v>
      </c>
      <c r="Q469" t="str">
        <f t="shared" si="31"/>
        <v>Low Risk</v>
      </c>
    </row>
    <row r="470" spans="1:17" x14ac:dyDescent="0.3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  <c r="N470">
        <f t="shared" si="28"/>
        <v>3127</v>
      </c>
      <c r="O470" t="str">
        <f t="shared" si="29"/>
        <v>Medium</v>
      </c>
      <c r="P470" t="str">
        <f t="shared" si="30"/>
        <v>Approved</v>
      </c>
      <c r="Q470" t="str">
        <f t="shared" si="31"/>
        <v>Low Risk</v>
      </c>
    </row>
    <row r="471" spans="1:17" x14ac:dyDescent="0.3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  <c r="N471">
        <f t="shared" si="28"/>
        <v>6784</v>
      </c>
      <c r="O471" t="str">
        <f t="shared" si="29"/>
        <v>High</v>
      </c>
      <c r="P471" t="str">
        <f t="shared" si="30"/>
        <v>Rejected</v>
      </c>
      <c r="Q471" t="str">
        <f t="shared" si="31"/>
        <v>Low Risk</v>
      </c>
    </row>
    <row r="472" spans="1:17" x14ac:dyDescent="0.3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  <c r="N472">
        <f t="shared" si="28"/>
        <v>5529</v>
      </c>
      <c r="O472" t="str">
        <f t="shared" si="29"/>
        <v>High</v>
      </c>
      <c r="P472" t="str">
        <f t="shared" si="30"/>
        <v>Approved</v>
      </c>
      <c r="Q472" t="str">
        <f t="shared" si="31"/>
        <v>Low Risk</v>
      </c>
    </row>
    <row r="473" spans="1:17" x14ac:dyDescent="0.3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  <c r="N473">
        <f t="shared" si="28"/>
        <v>4153</v>
      </c>
      <c r="O473" t="str">
        <f t="shared" si="29"/>
        <v>Medium</v>
      </c>
      <c r="P473" t="str">
        <f t="shared" si="30"/>
        <v>Rejected</v>
      </c>
      <c r="Q473" t="str">
        <f t="shared" si="31"/>
        <v>High Risk</v>
      </c>
    </row>
    <row r="474" spans="1:17" x14ac:dyDescent="0.3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  <c r="N474">
        <f t="shared" si="28"/>
        <v>4691</v>
      </c>
      <c r="O474" t="str">
        <f t="shared" si="29"/>
        <v>Medium</v>
      </c>
      <c r="P474" t="str">
        <f t="shared" si="30"/>
        <v>Approved</v>
      </c>
      <c r="Q474" t="str">
        <f t="shared" si="31"/>
        <v>Low Risk</v>
      </c>
    </row>
    <row r="475" spans="1:17" x14ac:dyDescent="0.3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K475">
        <v>1</v>
      </c>
      <c r="L475" t="s">
        <v>17</v>
      </c>
      <c r="M475" t="s">
        <v>18</v>
      </c>
      <c r="N475">
        <f t="shared" si="28"/>
        <v>2500</v>
      </c>
      <c r="O475" t="str">
        <f t="shared" si="29"/>
        <v>Medium</v>
      </c>
      <c r="P475" t="str">
        <f t="shared" si="30"/>
        <v>Approved</v>
      </c>
      <c r="Q475" t="str">
        <f t="shared" si="31"/>
        <v>Low Risk</v>
      </c>
    </row>
    <row r="476" spans="1:17" x14ac:dyDescent="0.3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  <c r="N476">
        <f t="shared" si="28"/>
        <v>10180</v>
      </c>
      <c r="O476" t="str">
        <f t="shared" si="29"/>
        <v>Very High</v>
      </c>
      <c r="P476" t="str">
        <f t="shared" si="30"/>
        <v>Approved</v>
      </c>
      <c r="Q476" t="str">
        <f t="shared" si="31"/>
        <v>Low Risk</v>
      </c>
    </row>
    <row r="477" spans="1:17" x14ac:dyDescent="0.3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  <c r="N477">
        <f t="shared" si="28"/>
        <v>17539</v>
      </c>
      <c r="O477" t="str">
        <f t="shared" si="29"/>
        <v>Very High</v>
      </c>
      <c r="P477" t="str">
        <f t="shared" si="30"/>
        <v>Approved</v>
      </c>
      <c r="Q477" t="str">
        <f t="shared" si="31"/>
        <v>Low Risk</v>
      </c>
    </row>
    <row r="478" spans="1:17" x14ac:dyDescent="0.3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  <c r="N478">
        <f t="shared" si="28"/>
        <v>8450</v>
      </c>
      <c r="O478" t="str">
        <f t="shared" si="29"/>
        <v>High</v>
      </c>
      <c r="P478" t="str">
        <f t="shared" si="30"/>
        <v>Approved</v>
      </c>
      <c r="Q478" t="str">
        <f t="shared" si="31"/>
        <v>Low Risk</v>
      </c>
    </row>
    <row r="479" spans="1:17" x14ac:dyDescent="0.3">
      <c r="A479" t="s">
        <v>502</v>
      </c>
      <c r="B479" t="s">
        <v>14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  <c r="N479">
        <f t="shared" si="28"/>
        <v>4745</v>
      </c>
      <c r="O479" t="str">
        <f t="shared" si="29"/>
        <v>Medium</v>
      </c>
      <c r="P479" t="str">
        <f t="shared" si="30"/>
        <v>Rejected</v>
      </c>
      <c r="Q479" t="str">
        <f t="shared" si="31"/>
        <v>High Risk</v>
      </c>
    </row>
    <row r="480" spans="1:17" x14ac:dyDescent="0.3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  <c r="N480">
        <f t="shared" si="28"/>
        <v>18917</v>
      </c>
      <c r="O480" t="str">
        <f t="shared" si="29"/>
        <v>Very High</v>
      </c>
      <c r="P480" t="str">
        <f t="shared" si="30"/>
        <v>Approved</v>
      </c>
      <c r="Q480" t="str">
        <f t="shared" si="31"/>
        <v>Low Risk</v>
      </c>
    </row>
    <row r="481" spans="1:17" x14ac:dyDescent="0.3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I481">
        <v>128</v>
      </c>
      <c r="J481">
        <v>360</v>
      </c>
      <c r="K481">
        <v>1</v>
      </c>
      <c r="L481" t="s">
        <v>17</v>
      </c>
      <c r="M481" t="s">
        <v>22</v>
      </c>
      <c r="N481">
        <f t="shared" si="28"/>
        <v>4550</v>
      </c>
      <c r="O481" t="str">
        <f t="shared" si="29"/>
        <v>Medium</v>
      </c>
      <c r="P481" t="str">
        <f t="shared" si="30"/>
        <v>Rejected</v>
      </c>
      <c r="Q481" t="str">
        <f t="shared" si="31"/>
        <v>Low Risk</v>
      </c>
    </row>
    <row r="482" spans="1:17" x14ac:dyDescent="0.3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  <c r="N482">
        <f t="shared" si="28"/>
        <v>4350</v>
      </c>
      <c r="O482" t="str">
        <f t="shared" si="29"/>
        <v>Medium</v>
      </c>
      <c r="P482" t="str">
        <f t="shared" si="30"/>
        <v>Approved</v>
      </c>
      <c r="Q482" t="str">
        <f t="shared" si="31"/>
        <v>Low Risk</v>
      </c>
    </row>
    <row r="483" spans="1:17" x14ac:dyDescent="0.3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  <c r="N483">
        <f t="shared" si="28"/>
        <v>3095</v>
      </c>
      <c r="O483" t="str">
        <f t="shared" si="29"/>
        <v>Medium</v>
      </c>
      <c r="P483" t="str">
        <f t="shared" si="30"/>
        <v>Approved</v>
      </c>
      <c r="Q483" t="str">
        <f t="shared" si="31"/>
        <v>Low Risk</v>
      </c>
    </row>
    <row r="484" spans="1:17" x14ac:dyDescent="0.3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  <c r="N484">
        <f t="shared" si="28"/>
        <v>5233</v>
      </c>
      <c r="O484" t="str">
        <f t="shared" si="29"/>
        <v>High</v>
      </c>
      <c r="P484" t="str">
        <f t="shared" si="30"/>
        <v>Approved</v>
      </c>
      <c r="Q484" t="str">
        <f t="shared" si="31"/>
        <v>Low Risk</v>
      </c>
    </row>
    <row r="485" spans="1:17" x14ac:dyDescent="0.3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  <c r="N485">
        <f t="shared" si="28"/>
        <v>10833</v>
      </c>
      <c r="O485" t="str">
        <f t="shared" si="29"/>
        <v>Very High</v>
      </c>
      <c r="P485" t="str">
        <f t="shared" si="30"/>
        <v>Approved</v>
      </c>
      <c r="Q485" t="str">
        <f t="shared" si="31"/>
        <v>Low Risk</v>
      </c>
    </row>
    <row r="486" spans="1:17" x14ac:dyDescent="0.3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  <c r="N486">
        <f t="shared" si="28"/>
        <v>8333</v>
      </c>
      <c r="O486" t="str">
        <f t="shared" si="29"/>
        <v>High</v>
      </c>
      <c r="P486" t="str">
        <f t="shared" si="30"/>
        <v>Approved</v>
      </c>
      <c r="Q486" t="str">
        <f t="shared" si="31"/>
        <v>Low Risk</v>
      </c>
    </row>
    <row r="487" spans="1:17" x14ac:dyDescent="0.3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  <c r="N487">
        <f t="shared" si="28"/>
        <v>4394</v>
      </c>
      <c r="O487" t="str">
        <f t="shared" si="29"/>
        <v>Medium</v>
      </c>
      <c r="P487" t="str">
        <f t="shared" si="30"/>
        <v>Approved</v>
      </c>
      <c r="Q487" t="str">
        <f t="shared" si="31"/>
        <v>Low Risk</v>
      </c>
    </row>
    <row r="488" spans="1:17" x14ac:dyDescent="0.3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  <c r="N488">
        <f t="shared" si="28"/>
        <v>3547</v>
      </c>
      <c r="O488" t="str">
        <f t="shared" si="29"/>
        <v>Medium</v>
      </c>
      <c r="P488" t="str">
        <f t="shared" si="30"/>
        <v>Rejected</v>
      </c>
      <c r="Q488" t="str">
        <f t="shared" si="31"/>
        <v>High Risk</v>
      </c>
    </row>
    <row r="489" spans="1:17" x14ac:dyDescent="0.3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  <c r="N489">
        <f t="shared" si="28"/>
        <v>18333</v>
      </c>
      <c r="O489" t="str">
        <f t="shared" si="29"/>
        <v>Very High</v>
      </c>
      <c r="P489" t="str">
        <f t="shared" si="30"/>
        <v>Rejected</v>
      </c>
      <c r="Q489" t="str">
        <f t="shared" si="31"/>
        <v>Low Risk</v>
      </c>
    </row>
    <row r="490" spans="1:17" x14ac:dyDescent="0.3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  <c r="N490">
        <f t="shared" si="28"/>
        <v>6666</v>
      </c>
      <c r="O490" t="str">
        <f t="shared" si="29"/>
        <v>High</v>
      </c>
      <c r="P490" t="str">
        <f t="shared" si="30"/>
        <v>Approved</v>
      </c>
      <c r="Q490" t="str">
        <f t="shared" si="31"/>
        <v>Low Risk</v>
      </c>
    </row>
    <row r="491" spans="1:17" x14ac:dyDescent="0.3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  <c r="N491">
        <f t="shared" si="28"/>
        <v>2435</v>
      </c>
      <c r="O491" t="str">
        <f t="shared" si="29"/>
        <v>Low</v>
      </c>
      <c r="P491" t="str">
        <f t="shared" si="30"/>
        <v>Rejected</v>
      </c>
      <c r="Q491" t="str">
        <f t="shared" si="31"/>
        <v>Low Risk</v>
      </c>
    </row>
    <row r="492" spans="1:17" x14ac:dyDescent="0.3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K492">
        <v>1</v>
      </c>
      <c r="L492" t="s">
        <v>31</v>
      </c>
      <c r="M492" t="s">
        <v>18</v>
      </c>
      <c r="N492">
        <f t="shared" si="28"/>
        <v>5484</v>
      </c>
      <c r="O492" t="str">
        <f t="shared" si="29"/>
        <v>High</v>
      </c>
      <c r="P492" t="str">
        <f t="shared" si="30"/>
        <v>Approved</v>
      </c>
      <c r="Q492" t="str">
        <f t="shared" si="31"/>
        <v>Low Risk</v>
      </c>
    </row>
    <row r="493" spans="1:17" x14ac:dyDescent="0.3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K493">
        <v>1</v>
      </c>
      <c r="L493" t="s">
        <v>17</v>
      </c>
      <c r="M493" t="s">
        <v>18</v>
      </c>
      <c r="N493">
        <f t="shared" si="28"/>
        <v>6464</v>
      </c>
      <c r="O493" t="str">
        <f t="shared" si="29"/>
        <v>High</v>
      </c>
      <c r="P493" t="str">
        <f t="shared" si="30"/>
        <v>Approved</v>
      </c>
      <c r="Q493" t="str">
        <f t="shared" si="31"/>
        <v>Low Risk</v>
      </c>
    </row>
    <row r="494" spans="1:17" x14ac:dyDescent="0.3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  <c r="N494">
        <f t="shared" si="28"/>
        <v>3691</v>
      </c>
      <c r="O494" t="str">
        <f t="shared" si="29"/>
        <v>Medium</v>
      </c>
      <c r="P494" t="str">
        <f t="shared" si="30"/>
        <v>Approved</v>
      </c>
      <c r="Q494" t="str">
        <f t="shared" si="31"/>
        <v>Low Risk</v>
      </c>
    </row>
    <row r="495" spans="1:17" x14ac:dyDescent="0.3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  <c r="N495">
        <f t="shared" si="28"/>
        <v>17263</v>
      </c>
      <c r="O495" t="str">
        <f t="shared" si="29"/>
        <v>Very High</v>
      </c>
      <c r="P495" t="str">
        <f t="shared" si="30"/>
        <v>Approved</v>
      </c>
      <c r="Q495" t="str">
        <f t="shared" si="31"/>
        <v>Low Risk</v>
      </c>
    </row>
    <row r="496" spans="1:17" x14ac:dyDescent="0.3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  <c r="N496">
        <f t="shared" si="28"/>
        <v>5754</v>
      </c>
      <c r="O496" t="str">
        <f t="shared" si="29"/>
        <v>High</v>
      </c>
      <c r="P496" t="str">
        <f t="shared" si="30"/>
        <v>Rejected</v>
      </c>
      <c r="Q496" t="str">
        <f t="shared" si="31"/>
        <v>High Risk</v>
      </c>
    </row>
    <row r="497" spans="1:17" x14ac:dyDescent="0.3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  <c r="N497">
        <f t="shared" si="28"/>
        <v>4239</v>
      </c>
      <c r="O497" t="str">
        <f t="shared" si="29"/>
        <v>Medium</v>
      </c>
      <c r="P497" t="str">
        <f t="shared" si="30"/>
        <v>Approved</v>
      </c>
      <c r="Q497" t="str">
        <f t="shared" si="31"/>
        <v>Low Risk</v>
      </c>
    </row>
    <row r="498" spans="1:17" x14ac:dyDescent="0.3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  <c r="N498">
        <f t="shared" si="28"/>
        <v>4300</v>
      </c>
      <c r="O498" t="str">
        <f t="shared" si="29"/>
        <v>Medium</v>
      </c>
      <c r="P498" t="str">
        <f t="shared" si="30"/>
        <v>Approved</v>
      </c>
      <c r="Q498" t="str">
        <f t="shared" si="31"/>
        <v>Low Risk</v>
      </c>
    </row>
    <row r="499" spans="1:17" x14ac:dyDescent="0.3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K499">
        <v>1</v>
      </c>
      <c r="L499" t="s">
        <v>17</v>
      </c>
      <c r="M499" t="s">
        <v>18</v>
      </c>
      <c r="N499">
        <f t="shared" si="28"/>
        <v>7482</v>
      </c>
      <c r="O499" t="str">
        <f t="shared" si="29"/>
        <v>High</v>
      </c>
      <c r="P499" t="str">
        <f t="shared" si="30"/>
        <v>Approved</v>
      </c>
      <c r="Q499" t="str">
        <f t="shared" si="31"/>
        <v>Low Risk</v>
      </c>
    </row>
    <row r="500" spans="1:17" x14ac:dyDescent="0.3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  <c r="N500">
        <f t="shared" si="28"/>
        <v>2895</v>
      </c>
      <c r="O500" t="str">
        <f t="shared" si="29"/>
        <v>Medium</v>
      </c>
      <c r="P500" t="str">
        <f t="shared" si="30"/>
        <v>Approved</v>
      </c>
      <c r="Q500" t="str">
        <f t="shared" si="31"/>
        <v>Low Risk</v>
      </c>
    </row>
    <row r="501" spans="1:17" x14ac:dyDescent="0.3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  <c r="N501">
        <f t="shared" si="28"/>
        <v>10699</v>
      </c>
      <c r="O501" t="str">
        <f t="shared" si="29"/>
        <v>Very High</v>
      </c>
      <c r="P501" t="str">
        <f t="shared" si="30"/>
        <v>Rejected</v>
      </c>
      <c r="Q501" t="str">
        <f t="shared" si="31"/>
        <v>High Risk</v>
      </c>
    </row>
    <row r="502" spans="1:17" x14ac:dyDescent="0.3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  <c r="N502">
        <f t="shared" si="28"/>
        <v>4328</v>
      </c>
      <c r="O502" t="str">
        <f t="shared" si="29"/>
        <v>Medium</v>
      </c>
      <c r="P502" t="str">
        <f t="shared" si="30"/>
        <v>Approved</v>
      </c>
      <c r="Q502" t="str">
        <f t="shared" si="31"/>
        <v>Low Risk</v>
      </c>
    </row>
    <row r="503" spans="1:17" x14ac:dyDescent="0.3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  <c r="N503">
        <f t="shared" si="28"/>
        <v>3159</v>
      </c>
      <c r="O503" t="str">
        <f t="shared" si="29"/>
        <v>Medium</v>
      </c>
      <c r="P503" t="str">
        <f t="shared" si="30"/>
        <v>Approved</v>
      </c>
      <c r="Q503" t="str">
        <f t="shared" si="31"/>
        <v>Low Risk</v>
      </c>
    </row>
    <row r="504" spans="1:17" x14ac:dyDescent="0.3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  <c r="N504">
        <f t="shared" si="28"/>
        <v>10489</v>
      </c>
      <c r="O504" t="str">
        <f t="shared" si="29"/>
        <v>Very High</v>
      </c>
      <c r="P504" t="str">
        <f t="shared" si="30"/>
        <v>Approved</v>
      </c>
      <c r="Q504" t="str">
        <f t="shared" si="31"/>
        <v>Low Risk</v>
      </c>
    </row>
    <row r="505" spans="1:17" x14ac:dyDescent="0.3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K505">
        <v>1</v>
      </c>
      <c r="L505" t="s">
        <v>21</v>
      </c>
      <c r="M505" t="s">
        <v>22</v>
      </c>
      <c r="N505">
        <f t="shared" si="28"/>
        <v>9352</v>
      </c>
      <c r="O505" t="str">
        <f t="shared" si="29"/>
        <v>High</v>
      </c>
      <c r="P505" t="str">
        <f t="shared" si="30"/>
        <v>Rejected</v>
      </c>
      <c r="Q505" t="str">
        <f t="shared" si="31"/>
        <v>Low Risk</v>
      </c>
    </row>
    <row r="506" spans="1:17" x14ac:dyDescent="0.3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  <c r="N506">
        <f t="shared" si="28"/>
        <v>5297</v>
      </c>
      <c r="O506" t="str">
        <f t="shared" si="29"/>
        <v>High</v>
      </c>
      <c r="P506" t="str">
        <f t="shared" si="30"/>
        <v>Approved</v>
      </c>
      <c r="Q506" t="str">
        <f t="shared" si="31"/>
        <v>Low Risk</v>
      </c>
    </row>
    <row r="507" spans="1:17" x14ac:dyDescent="0.3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  <c r="N507">
        <f t="shared" si="28"/>
        <v>7926</v>
      </c>
      <c r="O507" t="str">
        <f t="shared" si="29"/>
        <v>High</v>
      </c>
      <c r="P507" t="str">
        <f t="shared" si="30"/>
        <v>Approved</v>
      </c>
      <c r="Q507" t="str">
        <f t="shared" si="31"/>
        <v>Low Risk</v>
      </c>
    </row>
    <row r="508" spans="1:17" x14ac:dyDescent="0.3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K508">
        <v>1</v>
      </c>
      <c r="L508" t="s">
        <v>17</v>
      </c>
      <c r="M508" t="s">
        <v>18</v>
      </c>
      <c r="N508">
        <f t="shared" si="28"/>
        <v>27500</v>
      </c>
      <c r="O508" t="str">
        <f t="shared" si="29"/>
        <v>Very High</v>
      </c>
      <c r="P508" t="str">
        <f t="shared" si="30"/>
        <v>Approved</v>
      </c>
      <c r="Q508" t="str">
        <f t="shared" si="31"/>
        <v>Low Risk</v>
      </c>
    </row>
    <row r="509" spans="1:17" x14ac:dyDescent="0.3">
      <c r="A509" t="s">
        <v>532</v>
      </c>
      <c r="B509" t="s">
        <v>14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  <c r="N509">
        <f t="shared" si="28"/>
        <v>3583</v>
      </c>
      <c r="O509" t="str">
        <f t="shared" si="29"/>
        <v>Medium</v>
      </c>
      <c r="P509" t="str">
        <f t="shared" si="30"/>
        <v>Rejected</v>
      </c>
      <c r="Q509" t="str">
        <f t="shared" si="31"/>
        <v>Low Risk</v>
      </c>
    </row>
    <row r="510" spans="1:17" x14ac:dyDescent="0.3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  <c r="N510">
        <f t="shared" si="28"/>
        <v>5492</v>
      </c>
      <c r="O510" t="str">
        <f t="shared" si="29"/>
        <v>High</v>
      </c>
      <c r="P510" t="str">
        <f t="shared" si="30"/>
        <v>Approved</v>
      </c>
      <c r="Q510" t="str">
        <f t="shared" si="31"/>
        <v>Low Risk</v>
      </c>
    </row>
    <row r="511" spans="1:17" x14ac:dyDescent="0.3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  <c r="N511">
        <f t="shared" si="28"/>
        <v>13262</v>
      </c>
      <c r="O511" t="str">
        <f t="shared" si="29"/>
        <v>Very High</v>
      </c>
      <c r="P511" t="str">
        <f t="shared" si="30"/>
        <v>Approved</v>
      </c>
      <c r="Q511" t="str">
        <f t="shared" si="31"/>
        <v>Low Risk</v>
      </c>
    </row>
    <row r="512" spans="1:17" x14ac:dyDescent="0.3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  <c r="N512">
        <f t="shared" si="28"/>
        <v>4885</v>
      </c>
      <c r="O512" t="str">
        <f t="shared" si="29"/>
        <v>Medium</v>
      </c>
      <c r="P512" t="str">
        <f t="shared" si="30"/>
        <v>Rejected</v>
      </c>
      <c r="Q512" t="str">
        <f t="shared" si="31"/>
        <v>Low Risk</v>
      </c>
    </row>
    <row r="513" spans="1:17" x14ac:dyDescent="0.3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  <c r="N513">
        <f t="shared" si="28"/>
        <v>8069</v>
      </c>
      <c r="O513" t="str">
        <f t="shared" si="29"/>
        <v>High</v>
      </c>
      <c r="P513" t="str">
        <f t="shared" si="30"/>
        <v>Approved</v>
      </c>
      <c r="Q513" t="str">
        <f t="shared" si="31"/>
        <v>Low Risk</v>
      </c>
    </row>
    <row r="514" spans="1:17" x14ac:dyDescent="0.3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  <c r="N514">
        <f t="shared" si="28"/>
        <v>5318</v>
      </c>
      <c r="O514" t="str">
        <f t="shared" si="29"/>
        <v>High</v>
      </c>
      <c r="P514" t="str">
        <f t="shared" si="30"/>
        <v>Approved</v>
      </c>
      <c r="Q514" t="str">
        <f t="shared" si="31"/>
        <v>Low Risk</v>
      </c>
    </row>
    <row r="515" spans="1:17" x14ac:dyDescent="0.3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  <c r="N515">
        <f t="shared" ref="N515:N578" si="32">G515+H515</f>
        <v>8796</v>
      </c>
      <c r="O515" t="str">
        <f t="shared" ref="O515:O578" si="33">IF(N515&lt;2500,"Low",IF(N515&lt;5000,"Medium",IF(N515&lt;10000,"High","Very High")))</f>
        <v>High</v>
      </c>
      <c r="P515" t="str">
        <f t="shared" ref="P515:P578" si="34">IF(M515="Y","Approved","Rejected")</f>
        <v>Rejected</v>
      </c>
      <c r="Q515" t="str">
        <f t="shared" ref="Q515:Q578" si="35">IF(K515=1,"Low Risk","High Risk")</f>
        <v>Low Risk</v>
      </c>
    </row>
    <row r="516" spans="1:17" x14ac:dyDescent="0.3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  <c r="N516">
        <f t="shared" si="32"/>
        <v>9481</v>
      </c>
      <c r="O516" t="str">
        <f t="shared" si="33"/>
        <v>High</v>
      </c>
      <c r="P516" t="str">
        <f t="shared" si="34"/>
        <v>Rejected</v>
      </c>
      <c r="Q516" t="str">
        <f t="shared" si="35"/>
        <v>Low Risk</v>
      </c>
    </row>
    <row r="517" spans="1:17" x14ac:dyDescent="0.3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  <c r="N517">
        <f t="shared" si="32"/>
        <v>6894</v>
      </c>
      <c r="O517" t="str">
        <f t="shared" si="33"/>
        <v>High</v>
      </c>
      <c r="P517" t="str">
        <f t="shared" si="34"/>
        <v>Approved</v>
      </c>
      <c r="Q517" t="str">
        <f t="shared" si="35"/>
        <v>Low Risk</v>
      </c>
    </row>
    <row r="518" spans="1:17" x14ac:dyDescent="0.3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  <c r="N518">
        <f t="shared" si="32"/>
        <v>3663</v>
      </c>
      <c r="O518" t="str">
        <f t="shared" si="33"/>
        <v>Medium</v>
      </c>
      <c r="P518" t="str">
        <f t="shared" si="34"/>
        <v>Approved</v>
      </c>
      <c r="Q518" t="str">
        <f t="shared" si="35"/>
        <v>Low Risk</v>
      </c>
    </row>
    <row r="519" spans="1:17" x14ac:dyDescent="0.3">
      <c r="A519" t="s">
        <v>542</v>
      </c>
      <c r="B519" t="s">
        <v>14</v>
      </c>
      <c r="C519" t="s">
        <v>20</v>
      </c>
      <c r="D519">
        <v>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  <c r="N519">
        <f t="shared" si="32"/>
        <v>4874</v>
      </c>
      <c r="O519" t="str">
        <f t="shared" si="33"/>
        <v>Medium</v>
      </c>
      <c r="P519" t="str">
        <f t="shared" si="34"/>
        <v>Rejected</v>
      </c>
      <c r="Q519" t="str">
        <f t="shared" si="35"/>
        <v>High Risk</v>
      </c>
    </row>
    <row r="520" spans="1:17" x14ac:dyDescent="0.3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  <c r="N520">
        <f t="shared" si="32"/>
        <v>6598</v>
      </c>
      <c r="O520" t="str">
        <f t="shared" si="33"/>
        <v>High</v>
      </c>
      <c r="P520" t="str">
        <f t="shared" si="34"/>
        <v>Rejected</v>
      </c>
      <c r="Q520" t="str">
        <f t="shared" si="35"/>
        <v>Low Risk</v>
      </c>
    </row>
    <row r="521" spans="1:17" x14ac:dyDescent="0.3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  <c r="N521">
        <f t="shared" si="32"/>
        <v>3400</v>
      </c>
      <c r="O521" t="str">
        <f t="shared" si="33"/>
        <v>Medium</v>
      </c>
      <c r="P521" t="str">
        <f t="shared" si="34"/>
        <v>Rejected</v>
      </c>
      <c r="Q521" t="str">
        <f t="shared" si="35"/>
        <v>Low Risk</v>
      </c>
    </row>
    <row r="522" spans="1:17" x14ac:dyDescent="0.3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  <c r="N522">
        <f t="shared" si="32"/>
        <v>3934</v>
      </c>
      <c r="O522" t="str">
        <f t="shared" si="33"/>
        <v>Medium</v>
      </c>
      <c r="P522" t="str">
        <f t="shared" si="34"/>
        <v>Approved</v>
      </c>
      <c r="Q522" t="str">
        <f t="shared" si="35"/>
        <v>Low Risk</v>
      </c>
    </row>
    <row r="523" spans="1:17" x14ac:dyDescent="0.3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  <c r="N523">
        <f t="shared" si="32"/>
        <v>2500</v>
      </c>
      <c r="O523" t="str">
        <f t="shared" si="33"/>
        <v>Medium</v>
      </c>
      <c r="P523" t="str">
        <f t="shared" si="34"/>
        <v>Approved</v>
      </c>
      <c r="Q523" t="str">
        <f t="shared" si="35"/>
        <v>Low Risk</v>
      </c>
    </row>
    <row r="524" spans="1:17" x14ac:dyDescent="0.3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  <c r="N524">
        <f t="shared" si="32"/>
        <v>7101</v>
      </c>
      <c r="O524" t="str">
        <f t="shared" si="33"/>
        <v>High</v>
      </c>
      <c r="P524" t="str">
        <f t="shared" si="34"/>
        <v>Approved</v>
      </c>
      <c r="Q524" t="str">
        <f t="shared" si="35"/>
        <v>Low Risk</v>
      </c>
    </row>
    <row r="525" spans="1:17" x14ac:dyDescent="0.3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  <c r="N525">
        <f t="shared" si="32"/>
        <v>15114</v>
      </c>
      <c r="O525" t="str">
        <f t="shared" si="33"/>
        <v>Very High</v>
      </c>
      <c r="P525" t="str">
        <f t="shared" si="34"/>
        <v>Approved</v>
      </c>
      <c r="Q525" t="str">
        <f t="shared" si="35"/>
        <v>Low Risk</v>
      </c>
    </row>
    <row r="526" spans="1:17" x14ac:dyDescent="0.3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I526">
        <v>128</v>
      </c>
      <c r="J526">
        <v>360</v>
      </c>
      <c r="K526">
        <v>1</v>
      </c>
      <c r="L526" t="s">
        <v>31</v>
      </c>
      <c r="M526" t="s">
        <v>22</v>
      </c>
      <c r="N526">
        <f t="shared" si="32"/>
        <v>6767</v>
      </c>
      <c r="O526" t="str">
        <f t="shared" si="33"/>
        <v>High</v>
      </c>
      <c r="P526" t="str">
        <f t="shared" si="34"/>
        <v>Rejected</v>
      </c>
      <c r="Q526" t="str">
        <f t="shared" si="35"/>
        <v>Low Risk</v>
      </c>
    </row>
    <row r="527" spans="1:17" x14ac:dyDescent="0.3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  <c r="N527">
        <f t="shared" si="32"/>
        <v>17500</v>
      </c>
      <c r="O527" t="str">
        <f t="shared" si="33"/>
        <v>Very High</v>
      </c>
      <c r="P527" t="str">
        <f t="shared" si="34"/>
        <v>Approved</v>
      </c>
      <c r="Q527" t="str">
        <f t="shared" si="35"/>
        <v>Low Risk</v>
      </c>
    </row>
    <row r="528" spans="1:17" x14ac:dyDescent="0.3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  <c r="N528">
        <f t="shared" si="32"/>
        <v>3775</v>
      </c>
      <c r="O528" t="str">
        <f t="shared" si="33"/>
        <v>Medium</v>
      </c>
      <c r="P528" t="str">
        <f t="shared" si="34"/>
        <v>Approved</v>
      </c>
      <c r="Q528" t="str">
        <f t="shared" si="35"/>
        <v>Low Risk</v>
      </c>
    </row>
    <row r="529" spans="1:17" x14ac:dyDescent="0.3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  <c r="N529">
        <f t="shared" si="32"/>
        <v>6715</v>
      </c>
      <c r="O529" t="str">
        <f t="shared" si="33"/>
        <v>High</v>
      </c>
      <c r="P529" t="str">
        <f t="shared" si="34"/>
        <v>Approved</v>
      </c>
      <c r="Q529" t="str">
        <f t="shared" si="35"/>
        <v>High Risk</v>
      </c>
    </row>
    <row r="530" spans="1:17" x14ac:dyDescent="0.3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  <c r="N530">
        <f t="shared" si="32"/>
        <v>3981</v>
      </c>
      <c r="O530" t="str">
        <f t="shared" si="33"/>
        <v>Medium</v>
      </c>
      <c r="P530" t="str">
        <f t="shared" si="34"/>
        <v>Approved</v>
      </c>
      <c r="Q530" t="str">
        <f t="shared" si="35"/>
        <v>Low Risk</v>
      </c>
    </row>
    <row r="531" spans="1:17" x14ac:dyDescent="0.3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  <c r="N531">
        <f t="shared" si="32"/>
        <v>6783</v>
      </c>
      <c r="O531" t="str">
        <f t="shared" si="33"/>
        <v>High</v>
      </c>
      <c r="P531" t="str">
        <f t="shared" si="34"/>
        <v>Approved</v>
      </c>
      <c r="Q531" t="str">
        <f t="shared" si="35"/>
        <v>Low Risk</v>
      </c>
    </row>
    <row r="532" spans="1:17" x14ac:dyDescent="0.3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K532">
        <v>1</v>
      </c>
      <c r="L532" t="s">
        <v>21</v>
      </c>
      <c r="M532" t="s">
        <v>18</v>
      </c>
      <c r="N532">
        <f t="shared" si="32"/>
        <v>6525</v>
      </c>
      <c r="O532" t="str">
        <f t="shared" si="33"/>
        <v>High</v>
      </c>
      <c r="P532" t="str">
        <f t="shared" si="34"/>
        <v>Approved</v>
      </c>
      <c r="Q532" t="str">
        <f t="shared" si="35"/>
        <v>Low Risk</v>
      </c>
    </row>
    <row r="533" spans="1:17" x14ac:dyDescent="0.3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  <c r="N533">
        <f t="shared" si="32"/>
        <v>4281</v>
      </c>
      <c r="O533" t="str">
        <f t="shared" si="33"/>
        <v>Medium</v>
      </c>
      <c r="P533" t="str">
        <f t="shared" si="34"/>
        <v>Approved</v>
      </c>
      <c r="Q533" t="str">
        <f t="shared" si="35"/>
        <v>Low Risk</v>
      </c>
    </row>
    <row r="534" spans="1:17" x14ac:dyDescent="0.3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  <c r="N534">
        <f t="shared" si="32"/>
        <v>3588</v>
      </c>
      <c r="O534" t="str">
        <f t="shared" si="33"/>
        <v>Medium</v>
      </c>
      <c r="P534" t="str">
        <f t="shared" si="34"/>
        <v>Rejected</v>
      </c>
      <c r="Q534" t="str">
        <f t="shared" si="35"/>
        <v>High Risk</v>
      </c>
    </row>
    <row r="535" spans="1:17" x14ac:dyDescent="0.3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K535">
        <v>1</v>
      </c>
      <c r="L535" t="s">
        <v>31</v>
      </c>
      <c r="M535" t="s">
        <v>22</v>
      </c>
      <c r="N535">
        <f t="shared" si="32"/>
        <v>11250</v>
      </c>
      <c r="O535" t="str">
        <f t="shared" si="33"/>
        <v>Very High</v>
      </c>
      <c r="P535" t="str">
        <f t="shared" si="34"/>
        <v>Rejected</v>
      </c>
      <c r="Q535" t="str">
        <f t="shared" si="35"/>
        <v>Low Risk</v>
      </c>
    </row>
    <row r="536" spans="1:17" x14ac:dyDescent="0.3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  <c r="N536">
        <f t="shared" si="32"/>
        <v>18165</v>
      </c>
      <c r="O536" t="str">
        <f t="shared" si="33"/>
        <v>Very High</v>
      </c>
      <c r="P536" t="str">
        <f t="shared" si="34"/>
        <v>Approved</v>
      </c>
      <c r="Q536" t="str">
        <f t="shared" si="35"/>
        <v>Low Risk</v>
      </c>
    </row>
    <row r="537" spans="1:17" x14ac:dyDescent="0.3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  <c r="N537">
        <f t="shared" si="32"/>
        <v>4592</v>
      </c>
      <c r="O537" t="str">
        <f t="shared" si="33"/>
        <v>Medium</v>
      </c>
      <c r="P537" t="str">
        <f t="shared" si="34"/>
        <v>Approved</v>
      </c>
      <c r="Q537" t="str">
        <f t="shared" si="35"/>
        <v>Low Risk</v>
      </c>
    </row>
    <row r="538" spans="1:17" x14ac:dyDescent="0.3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  <c r="N538">
        <f t="shared" si="32"/>
        <v>10039</v>
      </c>
      <c r="O538" t="str">
        <f t="shared" si="33"/>
        <v>Very High</v>
      </c>
      <c r="P538" t="str">
        <f t="shared" si="34"/>
        <v>Approved</v>
      </c>
      <c r="Q538" t="str">
        <f t="shared" si="35"/>
        <v>Low Risk</v>
      </c>
    </row>
    <row r="539" spans="1:17" x14ac:dyDescent="0.3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  <c r="N539">
        <f t="shared" si="32"/>
        <v>3617</v>
      </c>
      <c r="O539" t="str">
        <f t="shared" si="33"/>
        <v>Medium</v>
      </c>
      <c r="P539" t="str">
        <f t="shared" si="34"/>
        <v>Approved</v>
      </c>
      <c r="Q539" t="str">
        <f t="shared" si="35"/>
        <v>Low Risk</v>
      </c>
    </row>
    <row r="540" spans="1:17" x14ac:dyDescent="0.3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  <c r="N540">
        <f t="shared" si="32"/>
        <v>3453</v>
      </c>
      <c r="O540" t="str">
        <f t="shared" si="33"/>
        <v>Medium</v>
      </c>
      <c r="P540" t="str">
        <f t="shared" si="34"/>
        <v>Rejected</v>
      </c>
      <c r="Q540" t="str">
        <f t="shared" si="35"/>
        <v>Low Risk</v>
      </c>
    </row>
    <row r="541" spans="1:17" x14ac:dyDescent="0.3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  <c r="N541">
        <f t="shared" si="32"/>
        <v>6417</v>
      </c>
      <c r="O541" t="str">
        <f t="shared" si="33"/>
        <v>High</v>
      </c>
      <c r="P541" t="str">
        <f t="shared" si="34"/>
        <v>Approved</v>
      </c>
      <c r="Q541" t="str">
        <f t="shared" si="35"/>
        <v>Low Risk</v>
      </c>
    </row>
    <row r="542" spans="1:17" x14ac:dyDescent="0.3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  <c r="N542">
        <f t="shared" si="32"/>
        <v>7453</v>
      </c>
      <c r="O542" t="str">
        <f t="shared" si="33"/>
        <v>High</v>
      </c>
      <c r="P542" t="str">
        <f t="shared" si="34"/>
        <v>Approved</v>
      </c>
      <c r="Q542" t="str">
        <f t="shared" si="35"/>
        <v>Low Risk</v>
      </c>
    </row>
    <row r="543" spans="1:17" x14ac:dyDescent="0.3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  <c r="N543">
        <f t="shared" si="32"/>
        <v>2138</v>
      </c>
      <c r="O543" t="str">
        <f t="shared" si="33"/>
        <v>Low</v>
      </c>
      <c r="P543" t="str">
        <f t="shared" si="34"/>
        <v>Rejected</v>
      </c>
      <c r="Q543" t="str">
        <f t="shared" si="35"/>
        <v>High Risk</v>
      </c>
    </row>
    <row r="544" spans="1:17" x14ac:dyDescent="0.3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  <c r="N544">
        <f t="shared" si="32"/>
        <v>3652</v>
      </c>
      <c r="O544" t="str">
        <f t="shared" si="33"/>
        <v>Medium</v>
      </c>
      <c r="P544" t="str">
        <f t="shared" si="34"/>
        <v>Approved</v>
      </c>
      <c r="Q544" t="str">
        <f t="shared" si="35"/>
        <v>Low Risk</v>
      </c>
    </row>
    <row r="545" spans="1:17" x14ac:dyDescent="0.3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  <c r="N545">
        <f t="shared" si="32"/>
        <v>4763</v>
      </c>
      <c r="O545" t="str">
        <f t="shared" si="33"/>
        <v>Medium</v>
      </c>
      <c r="P545" t="str">
        <f t="shared" si="34"/>
        <v>Approved</v>
      </c>
      <c r="Q545" t="str">
        <f t="shared" si="35"/>
        <v>Low Risk</v>
      </c>
    </row>
    <row r="546" spans="1:17" x14ac:dyDescent="0.3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K546">
        <v>1</v>
      </c>
      <c r="L546" t="s">
        <v>31</v>
      </c>
      <c r="M546" t="s">
        <v>18</v>
      </c>
      <c r="N546">
        <f t="shared" si="32"/>
        <v>3680</v>
      </c>
      <c r="O546" t="str">
        <f t="shared" si="33"/>
        <v>Medium</v>
      </c>
      <c r="P546" t="str">
        <f t="shared" si="34"/>
        <v>Approved</v>
      </c>
      <c r="Q546" t="str">
        <f t="shared" si="35"/>
        <v>Low Risk</v>
      </c>
    </row>
    <row r="547" spans="1:17" x14ac:dyDescent="0.3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  <c r="N547">
        <f t="shared" si="32"/>
        <v>4718</v>
      </c>
      <c r="O547" t="str">
        <f t="shared" si="33"/>
        <v>Medium</v>
      </c>
      <c r="P547" t="str">
        <f t="shared" si="34"/>
        <v>Approved</v>
      </c>
      <c r="Q547" t="str">
        <f t="shared" si="35"/>
        <v>Low Risk</v>
      </c>
    </row>
    <row r="548" spans="1:17" x14ac:dyDescent="0.3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  <c r="N548">
        <f t="shared" si="32"/>
        <v>3358</v>
      </c>
      <c r="O548" t="str">
        <f t="shared" si="33"/>
        <v>Medium</v>
      </c>
      <c r="P548" t="str">
        <f t="shared" si="34"/>
        <v>Rejected</v>
      </c>
      <c r="Q548" t="str">
        <f t="shared" si="35"/>
        <v>Low Risk</v>
      </c>
    </row>
    <row r="549" spans="1:17" x14ac:dyDescent="0.3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  <c r="N549">
        <f t="shared" si="32"/>
        <v>4309</v>
      </c>
      <c r="O549" t="str">
        <f t="shared" si="33"/>
        <v>Medium</v>
      </c>
      <c r="P549" t="str">
        <f t="shared" si="34"/>
        <v>Approved</v>
      </c>
      <c r="Q549" t="str">
        <f t="shared" si="35"/>
        <v>Low Risk</v>
      </c>
    </row>
    <row r="550" spans="1:17" x14ac:dyDescent="0.3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  <c r="N550">
        <f t="shared" si="32"/>
        <v>5000</v>
      </c>
      <c r="O550" t="str">
        <f t="shared" si="33"/>
        <v>High</v>
      </c>
      <c r="P550" t="str">
        <f t="shared" si="34"/>
        <v>Rejected</v>
      </c>
      <c r="Q550" t="str">
        <f t="shared" si="35"/>
        <v>High Risk</v>
      </c>
    </row>
    <row r="551" spans="1:17" x14ac:dyDescent="0.3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  <c r="N551">
        <f t="shared" si="32"/>
        <v>4801</v>
      </c>
      <c r="O551" t="str">
        <f t="shared" si="33"/>
        <v>Medium</v>
      </c>
      <c r="P551" t="str">
        <f t="shared" si="34"/>
        <v>Approved</v>
      </c>
      <c r="Q551" t="str">
        <f t="shared" si="35"/>
        <v>Low Risk</v>
      </c>
    </row>
    <row r="552" spans="1:17" x14ac:dyDescent="0.3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I552">
        <v>128</v>
      </c>
      <c r="J552">
        <v>360</v>
      </c>
      <c r="K552">
        <v>0</v>
      </c>
      <c r="L552" t="s">
        <v>21</v>
      </c>
      <c r="M552" t="s">
        <v>22</v>
      </c>
      <c r="N552">
        <f t="shared" si="32"/>
        <v>6633</v>
      </c>
      <c r="O552" t="str">
        <f t="shared" si="33"/>
        <v>High</v>
      </c>
      <c r="P552" t="str">
        <f t="shared" si="34"/>
        <v>Rejected</v>
      </c>
      <c r="Q552" t="str">
        <f t="shared" si="35"/>
        <v>High Risk</v>
      </c>
    </row>
    <row r="553" spans="1:17" x14ac:dyDescent="0.3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I553">
        <v>128</v>
      </c>
      <c r="J553">
        <v>360</v>
      </c>
      <c r="K553">
        <v>1</v>
      </c>
      <c r="L553" t="s">
        <v>21</v>
      </c>
      <c r="M553" t="s">
        <v>18</v>
      </c>
      <c r="N553">
        <f t="shared" si="32"/>
        <v>4867</v>
      </c>
      <c r="O553" t="str">
        <f t="shared" si="33"/>
        <v>Medium</v>
      </c>
      <c r="P553" t="str">
        <f t="shared" si="34"/>
        <v>Approved</v>
      </c>
      <c r="Q553" t="str">
        <f t="shared" si="35"/>
        <v>Low Risk</v>
      </c>
    </row>
    <row r="554" spans="1:17" x14ac:dyDescent="0.3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  <c r="N554">
        <f t="shared" si="32"/>
        <v>6583</v>
      </c>
      <c r="O554" t="str">
        <f t="shared" si="33"/>
        <v>High</v>
      </c>
      <c r="P554" t="str">
        <f t="shared" si="34"/>
        <v>Approved</v>
      </c>
      <c r="Q554" t="str">
        <f t="shared" si="35"/>
        <v>Low Risk</v>
      </c>
    </row>
    <row r="555" spans="1:17" x14ac:dyDescent="0.3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  <c r="N555">
        <f t="shared" si="32"/>
        <v>4787</v>
      </c>
      <c r="O555" t="str">
        <f t="shared" si="33"/>
        <v>Medium</v>
      </c>
      <c r="P555" t="str">
        <f t="shared" si="34"/>
        <v>Rejected</v>
      </c>
      <c r="Q555" t="str">
        <f t="shared" si="35"/>
        <v>High Risk</v>
      </c>
    </row>
    <row r="556" spans="1:17" x14ac:dyDescent="0.3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  <c r="N556">
        <f t="shared" si="32"/>
        <v>7859</v>
      </c>
      <c r="O556" t="str">
        <f t="shared" si="33"/>
        <v>High</v>
      </c>
      <c r="P556" t="str">
        <f t="shared" si="34"/>
        <v>Rejected</v>
      </c>
      <c r="Q556" t="str">
        <f t="shared" si="35"/>
        <v>High Risk</v>
      </c>
    </row>
    <row r="557" spans="1:17" x14ac:dyDescent="0.3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  <c r="N557">
        <f t="shared" si="32"/>
        <v>6500</v>
      </c>
      <c r="O557" t="str">
        <f t="shared" si="33"/>
        <v>High</v>
      </c>
      <c r="P557" t="str">
        <f t="shared" si="34"/>
        <v>Approved</v>
      </c>
      <c r="Q557" t="str">
        <f t="shared" si="35"/>
        <v>Low Risk</v>
      </c>
    </row>
    <row r="558" spans="1:17" x14ac:dyDescent="0.3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K558">
        <v>1</v>
      </c>
      <c r="L558" t="s">
        <v>17</v>
      </c>
      <c r="M558" t="s">
        <v>18</v>
      </c>
      <c r="N558">
        <f t="shared" si="32"/>
        <v>4292</v>
      </c>
      <c r="O558" t="str">
        <f t="shared" si="33"/>
        <v>Medium</v>
      </c>
      <c r="P558" t="str">
        <f t="shared" si="34"/>
        <v>Approved</v>
      </c>
      <c r="Q558" t="str">
        <f t="shared" si="35"/>
        <v>Low Risk</v>
      </c>
    </row>
    <row r="559" spans="1:17" x14ac:dyDescent="0.3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  <c r="N559">
        <f t="shared" si="32"/>
        <v>10139</v>
      </c>
      <c r="O559" t="str">
        <f t="shared" si="33"/>
        <v>Very High</v>
      </c>
      <c r="P559" t="str">
        <f t="shared" si="34"/>
        <v>Approved</v>
      </c>
      <c r="Q559" t="str">
        <f t="shared" si="35"/>
        <v>Low Risk</v>
      </c>
    </row>
    <row r="560" spans="1:17" x14ac:dyDescent="0.3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  <c r="N560">
        <f t="shared" si="32"/>
        <v>6556</v>
      </c>
      <c r="O560" t="str">
        <f t="shared" si="33"/>
        <v>High</v>
      </c>
      <c r="P560" t="str">
        <f t="shared" si="34"/>
        <v>Approved</v>
      </c>
      <c r="Q560" t="str">
        <f t="shared" si="35"/>
        <v>Low Risk</v>
      </c>
    </row>
    <row r="561" spans="1:17" x14ac:dyDescent="0.3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  <c r="N561">
        <f t="shared" si="32"/>
        <v>6486</v>
      </c>
      <c r="O561" t="str">
        <f t="shared" si="33"/>
        <v>High</v>
      </c>
      <c r="P561" t="str">
        <f t="shared" si="34"/>
        <v>Approved</v>
      </c>
      <c r="Q561" t="str">
        <f t="shared" si="35"/>
        <v>Low Risk</v>
      </c>
    </row>
    <row r="562" spans="1:17" x14ac:dyDescent="0.3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  <c r="N562">
        <f t="shared" si="32"/>
        <v>3917</v>
      </c>
      <c r="O562" t="str">
        <f t="shared" si="33"/>
        <v>Medium</v>
      </c>
      <c r="P562" t="str">
        <f t="shared" si="34"/>
        <v>Approved</v>
      </c>
      <c r="Q562" t="str">
        <f t="shared" si="35"/>
        <v>Low Risk</v>
      </c>
    </row>
    <row r="563" spans="1:17" x14ac:dyDescent="0.3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  <c r="N563">
        <f t="shared" si="32"/>
        <v>19484</v>
      </c>
      <c r="O563" t="str">
        <f t="shared" si="33"/>
        <v>Very High</v>
      </c>
      <c r="P563" t="str">
        <f t="shared" si="34"/>
        <v>Approved</v>
      </c>
      <c r="Q563" t="str">
        <f t="shared" si="35"/>
        <v>Low Risk</v>
      </c>
    </row>
    <row r="564" spans="1:17" x14ac:dyDescent="0.3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  <c r="N564">
        <f t="shared" si="32"/>
        <v>7977</v>
      </c>
      <c r="O564" t="str">
        <f t="shared" si="33"/>
        <v>High</v>
      </c>
      <c r="P564" t="str">
        <f t="shared" si="34"/>
        <v>Approved</v>
      </c>
      <c r="Q564" t="str">
        <f t="shared" si="35"/>
        <v>Low Risk</v>
      </c>
    </row>
    <row r="565" spans="1:17" x14ac:dyDescent="0.3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  <c r="N565">
        <f t="shared" si="32"/>
        <v>5800</v>
      </c>
      <c r="O565" t="str">
        <f t="shared" si="33"/>
        <v>High</v>
      </c>
      <c r="P565" t="str">
        <f t="shared" si="34"/>
        <v>Approved</v>
      </c>
      <c r="Q565" t="str">
        <f t="shared" si="35"/>
        <v>Low Risk</v>
      </c>
    </row>
    <row r="566" spans="1:17" x14ac:dyDescent="0.3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  <c r="N566">
        <f t="shared" si="32"/>
        <v>8799</v>
      </c>
      <c r="O566" t="str">
        <f t="shared" si="33"/>
        <v>High</v>
      </c>
      <c r="P566" t="str">
        <f t="shared" si="34"/>
        <v>Rejected</v>
      </c>
      <c r="Q566" t="str">
        <f t="shared" si="35"/>
        <v>High Risk</v>
      </c>
    </row>
    <row r="567" spans="1:17" x14ac:dyDescent="0.3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K567">
        <v>1</v>
      </c>
      <c r="L567" t="s">
        <v>21</v>
      </c>
      <c r="M567" t="s">
        <v>18</v>
      </c>
      <c r="N567">
        <f t="shared" si="32"/>
        <v>4467</v>
      </c>
      <c r="O567" t="str">
        <f t="shared" si="33"/>
        <v>Medium</v>
      </c>
      <c r="P567" t="str">
        <f t="shared" si="34"/>
        <v>Approved</v>
      </c>
      <c r="Q567" t="str">
        <f t="shared" si="35"/>
        <v>Low Risk</v>
      </c>
    </row>
    <row r="568" spans="1:17" x14ac:dyDescent="0.3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  <c r="N568">
        <f t="shared" si="32"/>
        <v>3333</v>
      </c>
      <c r="O568" t="str">
        <f t="shared" si="33"/>
        <v>Medium</v>
      </c>
      <c r="P568" t="str">
        <f t="shared" si="34"/>
        <v>Approved</v>
      </c>
      <c r="Q568" t="str">
        <f t="shared" si="35"/>
        <v>Low Risk</v>
      </c>
    </row>
    <row r="569" spans="1:17" x14ac:dyDescent="0.3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  <c r="N569">
        <f t="shared" si="32"/>
        <v>5900</v>
      </c>
      <c r="O569" t="str">
        <f t="shared" si="33"/>
        <v>High</v>
      </c>
      <c r="P569" t="str">
        <f t="shared" si="34"/>
        <v>Rejected</v>
      </c>
      <c r="Q569" t="str">
        <f t="shared" si="35"/>
        <v>High Risk</v>
      </c>
    </row>
    <row r="570" spans="1:17" x14ac:dyDescent="0.3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  <c r="N570">
        <f t="shared" si="32"/>
        <v>2378</v>
      </c>
      <c r="O570" t="str">
        <f t="shared" si="33"/>
        <v>Low</v>
      </c>
      <c r="P570" t="str">
        <f t="shared" si="34"/>
        <v>Rejected</v>
      </c>
      <c r="Q570" t="str">
        <f t="shared" si="35"/>
        <v>Low Risk</v>
      </c>
    </row>
    <row r="571" spans="1:17" x14ac:dyDescent="0.3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  <c r="N571">
        <f t="shared" si="32"/>
        <v>5230</v>
      </c>
      <c r="O571" t="str">
        <f t="shared" si="33"/>
        <v>High</v>
      </c>
      <c r="P571" t="str">
        <f t="shared" si="34"/>
        <v>Rejected</v>
      </c>
      <c r="Q571" t="str">
        <f t="shared" si="35"/>
        <v>High Risk</v>
      </c>
    </row>
    <row r="572" spans="1:17" x14ac:dyDescent="0.3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  <c r="N572">
        <f t="shared" si="32"/>
        <v>5167</v>
      </c>
      <c r="O572" t="str">
        <f t="shared" si="33"/>
        <v>High</v>
      </c>
      <c r="P572" t="str">
        <f t="shared" si="34"/>
        <v>Approved</v>
      </c>
      <c r="Q572" t="str">
        <f t="shared" si="35"/>
        <v>Low Risk</v>
      </c>
    </row>
    <row r="573" spans="1:17" x14ac:dyDescent="0.3">
      <c r="A573" t="s">
        <v>596</v>
      </c>
      <c r="B573" t="s">
        <v>14</v>
      </c>
      <c r="C573" t="s">
        <v>20</v>
      </c>
      <c r="D573">
        <v>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  <c r="N573">
        <f t="shared" si="32"/>
        <v>6567</v>
      </c>
      <c r="O573" t="str">
        <f t="shared" si="33"/>
        <v>High</v>
      </c>
      <c r="P573" t="str">
        <f t="shared" si="34"/>
        <v>Rejected</v>
      </c>
      <c r="Q573" t="str">
        <f t="shared" si="35"/>
        <v>High Risk</v>
      </c>
    </row>
    <row r="574" spans="1:17" x14ac:dyDescent="0.3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  <c r="N574">
        <f t="shared" si="32"/>
        <v>16666</v>
      </c>
      <c r="O574" t="str">
        <f t="shared" si="33"/>
        <v>Very High</v>
      </c>
      <c r="P574" t="str">
        <f t="shared" si="34"/>
        <v>Approved</v>
      </c>
      <c r="Q574" t="str">
        <f t="shared" si="35"/>
        <v>Low Risk</v>
      </c>
    </row>
    <row r="575" spans="1:17" x14ac:dyDescent="0.3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  <c r="N575">
        <f t="shared" si="32"/>
        <v>7750</v>
      </c>
      <c r="O575" t="str">
        <f t="shared" si="33"/>
        <v>High</v>
      </c>
      <c r="P575" t="str">
        <f t="shared" si="34"/>
        <v>Rejected</v>
      </c>
      <c r="Q575" t="str">
        <f t="shared" si="35"/>
        <v>Low Risk</v>
      </c>
    </row>
    <row r="576" spans="1:17" x14ac:dyDescent="0.3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  <c r="N576">
        <f t="shared" si="32"/>
        <v>6406</v>
      </c>
      <c r="O576" t="str">
        <f t="shared" si="33"/>
        <v>High</v>
      </c>
      <c r="P576" t="str">
        <f t="shared" si="34"/>
        <v>Rejected</v>
      </c>
      <c r="Q576" t="str">
        <f t="shared" si="35"/>
        <v>Low Risk</v>
      </c>
    </row>
    <row r="577" spans="1:17" x14ac:dyDescent="0.3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  <c r="N577">
        <f t="shared" si="32"/>
        <v>3620</v>
      </c>
      <c r="O577" t="str">
        <f t="shared" si="33"/>
        <v>Medium</v>
      </c>
      <c r="P577" t="str">
        <f t="shared" si="34"/>
        <v>Approved</v>
      </c>
      <c r="Q577" t="str">
        <f t="shared" si="35"/>
        <v>Low Risk</v>
      </c>
    </row>
    <row r="578" spans="1:17" x14ac:dyDescent="0.3">
      <c r="A578" t="s">
        <v>601</v>
      </c>
      <c r="B578" t="s">
        <v>14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  <c r="N578">
        <f t="shared" si="32"/>
        <v>5297</v>
      </c>
      <c r="O578" t="str">
        <f t="shared" si="33"/>
        <v>High</v>
      </c>
      <c r="P578" t="str">
        <f t="shared" si="34"/>
        <v>Rejected</v>
      </c>
      <c r="Q578" t="str">
        <f t="shared" si="35"/>
        <v>High Risk</v>
      </c>
    </row>
    <row r="579" spans="1:17" x14ac:dyDescent="0.3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  <c r="N579">
        <f t="shared" ref="N579:N615" si="36">G579+H579</f>
        <v>5968</v>
      </c>
      <c r="O579" t="str">
        <f t="shared" ref="O579:O615" si="37">IF(N579&lt;2500,"Low",IF(N579&lt;5000,"Medium",IF(N579&lt;10000,"High","Very High")))</f>
        <v>High</v>
      </c>
      <c r="P579" t="str">
        <f t="shared" ref="P579:P615" si="38">IF(M579="Y","Approved","Rejected")</f>
        <v>Approved</v>
      </c>
      <c r="Q579" t="str">
        <f t="shared" ref="Q579:Q615" si="39">IF(K579=1,"Low Risk","High Risk")</f>
        <v>Low Risk</v>
      </c>
    </row>
    <row r="580" spans="1:17" x14ac:dyDescent="0.3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  <c r="N580">
        <f t="shared" si="36"/>
        <v>4014</v>
      </c>
      <c r="O580" t="str">
        <f t="shared" si="37"/>
        <v>Medium</v>
      </c>
      <c r="P580" t="str">
        <f t="shared" si="38"/>
        <v>Approved</v>
      </c>
      <c r="Q580" t="str">
        <f t="shared" si="39"/>
        <v>Low Risk</v>
      </c>
    </row>
    <row r="581" spans="1:17" x14ac:dyDescent="0.3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  <c r="N581">
        <f t="shared" si="36"/>
        <v>6099</v>
      </c>
      <c r="O581" t="str">
        <f t="shared" si="37"/>
        <v>High</v>
      </c>
      <c r="P581" t="str">
        <f t="shared" si="38"/>
        <v>Approved</v>
      </c>
      <c r="Q581" t="str">
        <f t="shared" si="39"/>
        <v>Low Risk</v>
      </c>
    </row>
    <row r="582" spans="1:17" x14ac:dyDescent="0.3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  <c r="N582">
        <f t="shared" si="36"/>
        <v>6540</v>
      </c>
      <c r="O582" t="str">
        <f t="shared" si="37"/>
        <v>High</v>
      </c>
      <c r="P582" t="str">
        <f t="shared" si="38"/>
        <v>Approved</v>
      </c>
      <c r="Q582" t="str">
        <f t="shared" si="39"/>
        <v>Low Risk</v>
      </c>
    </row>
    <row r="583" spans="1:17" x14ac:dyDescent="0.3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  <c r="N583">
        <f t="shared" si="36"/>
        <v>35673</v>
      </c>
      <c r="O583" t="str">
        <f t="shared" si="37"/>
        <v>Very High</v>
      </c>
      <c r="P583" t="str">
        <f t="shared" si="38"/>
        <v>Rejected</v>
      </c>
      <c r="Q583" t="str">
        <f t="shared" si="39"/>
        <v>Low Risk</v>
      </c>
    </row>
    <row r="584" spans="1:17" x14ac:dyDescent="0.3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  <c r="N584">
        <f t="shared" si="36"/>
        <v>3166</v>
      </c>
      <c r="O584" t="str">
        <f t="shared" si="37"/>
        <v>Medium</v>
      </c>
      <c r="P584" t="str">
        <f t="shared" si="38"/>
        <v>Approved</v>
      </c>
      <c r="Q584" t="str">
        <f t="shared" si="39"/>
        <v>Low Risk</v>
      </c>
    </row>
    <row r="585" spans="1:17" x14ac:dyDescent="0.3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K585">
        <v>1</v>
      </c>
      <c r="L585" t="s">
        <v>21</v>
      </c>
      <c r="M585" t="s">
        <v>22</v>
      </c>
      <c r="N585">
        <f t="shared" si="36"/>
        <v>1880</v>
      </c>
      <c r="O585" t="str">
        <f t="shared" si="37"/>
        <v>Low</v>
      </c>
      <c r="P585" t="str">
        <f t="shared" si="38"/>
        <v>Rejected</v>
      </c>
      <c r="Q585" t="str">
        <f t="shared" si="39"/>
        <v>Low Risk</v>
      </c>
    </row>
    <row r="586" spans="1:17" x14ac:dyDescent="0.3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  <c r="N586">
        <f t="shared" si="36"/>
        <v>4704</v>
      </c>
      <c r="O586" t="str">
        <f t="shared" si="37"/>
        <v>Medium</v>
      </c>
      <c r="P586" t="str">
        <f t="shared" si="38"/>
        <v>Rejected</v>
      </c>
      <c r="Q586" t="str">
        <f t="shared" si="39"/>
        <v>High Risk</v>
      </c>
    </row>
    <row r="587" spans="1:17" x14ac:dyDescent="0.3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  <c r="N587">
        <f t="shared" si="36"/>
        <v>7283</v>
      </c>
      <c r="O587" t="str">
        <f t="shared" si="37"/>
        <v>High</v>
      </c>
      <c r="P587" t="str">
        <f t="shared" si="38"/>
        <v>Rejected</v>
      </c>
      <c r="Q587" t="str">
        <f t="shared" si="39"/>
        <v>Low Risk</v>
      </c>
    </row>
    <row r="588" spans="1:17" x14ac:dyDescent="0.3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  <c r="N588">
        <f t="shared" si="36"/>
        <v>3819</v>
      </c>
      <c r="O588" t="str">
        <f t="shared" si="37"/>
        <v>Medium</v>
      </c>
      <c r="P588" t="str">
        <f t="shared" si="38"/>
        <v>Approved</v>
      </c>
      <c r="Q588" t="str">
        <f t="shared" si="39"/>
        <v>Low Risk</v>
      </c>
    </row>
    <row r="589" spans="1:17" x14ac:dyDescent="0.3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  <c r="N589">
        <f t="shared" si="36"/>
        <v>2165</v>
      </c>
      <c r="O589" t="str">
        <f t="shared" si="37"/>
        <v>Low</v>
      </c>
      <c r="P589" t="str">
        <f t="shared" si="38"/>
        <v>Approved</v>
      </c>
      <c r="Q589" t="str">
        <f t="shared" si="39"/>
        <v>Low Risk</v>
      </c>
    </row>
    <row r="590" spans="1:17" x14ac:dyDescent="0.3">
      <c r="A590" t="s">
        <v>613</v>
      </c>
      <c r="B590" t="s">
        <v>14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  <c r="N590">
        <f t="shared" si="36"/>
        <v>4750</v>
      </c>
      <c r="O590" t="str">
        <f t="shared" si="37"/>
        <v>Medium</v>
      </c>
      <c r="P590" t="str">
        <f t="shared" si="38"/>
        <v>Approved</v>
      </c>
      <c r="Q590" t="str">
        <f t="shared" si="39"/>
        <v>Low Risk</v>
      </c>
    </row>
    <row r="591" spans="1:17" x14ac:dyDescent="0.3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  <c r="N591">
        <f t="shared" si="36"/>
        <v>2726</v>
      </c>
      <c r="O591" t="str">
        <f t="shared" si="37"/>
        <v>Medium</v>
      </c>
      <c r="P591" t="str">
        <f t="shared" si="38"/>
        <v>Rejected</v>
      </c>
      <c r="Q591" t="str">
        <f t="shared" si="39"/>
        <v>High Risk</v>
      </c>
    </row>
    <row r="592" spans="1:17" x14ac:dyDescent="0.3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  <c r="N592">
        <f t="shared" si="36"/>
        <v>6416</v>
      </c>
      <c r="O592" t="str">
        <f t="shared" si="37"/>
        <v>High</v>
      </c>
      <c r="P592" t="str">
        <f t="shared" si="38"/>
        <v>Approved</v>
      </c>
      <c r="Q592" t="str">
        <f t="shared" si="39"/>
        <v>Low Risk</v>
      </c>
    </row>
    <row r="593" spans="1:17" x14ac:dyDescent="0.3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  <c r="N593">
        <f t="shared" si="36"/>
        <v>6000</v>
      </c>
      <c r="O593" t="str">
        <f t="shared" si="37"/>
        <v>High</v>
      </c>
      <c r="P593" t="str">
        <f t="shared" si="38"/>
        <v>Rejected</v>
      </c>
      <c r="Q593" t="str">
        <f t="shared" si="39"/>
        <v>Low Risk</v>
      </c>
    </row>
    <row r="594" spans="1:17" x14ac:dyDescent="0.3">
      <c r="A594" t="s">
        <v>617</v>
      </c>
      <c r="B594" t="s">
        <v>14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  <c r="N594">
        <f t="shared" si="36"/>
        <v>9357</v>
      </c>
      <c r="O594" t="str">
        <f t="shared" si="37"/>
        <v>High</v>
      </c>
      <c r="P594" t="str">
        <f t="shared" si="38"/>
        <v>Approved</v>
      </c>
      <c r="Q594" t="str">
        <f t="shared" si="39"/>
        <v>Low Risk</v>
      </c>
    </row>
    <row r="595" spans="1:17" x14ac:dyDescent="0.3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  <c r="N595">
        <f t="shared" si="36"/>
        <v>7159</v>
      </c>
      <c r="O595" t="str">
        <f t="shared" si="37"/>
        <v>High</v>
      </c>
      <c r="P595" t="str">
        <f t="shared" si="38"/>
        <v>Approved</v>
      </c>
      <c r="Q595" t="str">
        <f t="shared" si="39"/>
        <v>Low Risk</v>
      </c>
    </row>
    <row r="596" spans="1:17" x14ac:dyDescent="0.3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  <c r="N596">
        <f t="shared" si="36"/>
        <v>16120</v>
      </c>
      <c r="O596" t="str">
        <f t="shared" si="37"/>
        <v>Very High</v>
      </c>
      <c r="P596" t="str">
        <f t="shared" si="38"/>
        <v>Approved</v>
      </c>
      <c r="Q596" t="str">
        <f t="shared" si="39"/>
        <v>Low Risk</v>
      </c>
    </row>
    <row r="597" spans="1:17" x14ac:dyDescent="0.3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  <c r="N597">
        <f t="shared" si="36"/>
        <v>3833</v>
      </c>
      <c r="O597" t="str">
        <f t="shared" si="37"/>
        <v>Medium</v>
      </c>
      <c r="P597" t="str">
        <f t="shared" si="38"/>
        <v>Approved</v>
      </c>
      <c r="Q597" t="str">
        <f t="shared" si="39"/>
        <v>Low Risk</v>
      </c>
    </row>
    <row r="598" spans="1:17" x14ac:dyDescent="0.3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  <c r="N598">
        <f t="shared" si="36"/>
        <v>7383</v>
      </c>
      <c r="O598" t="str">
        <f t="shared" si="37"/>
        <v>High</v>
      </c>
      <c r="P598" t="str">
        <f t="shared" si="38"/>
        <v>Rejected</v>
      </c>
      <c r="Q598" t="str">
        <f t="shared" si="39"/>
        <v>Low Risk</v>
      </c>
    </row>
    <row r="599" spans="1:17" x14ac:dyDescent="0.3">
      <c r="A599" t="s">
        <v>622</v>
      </c>
      <c r="B599" t="s">
        <v>14</v>
      </c>
      <c r="C599" t="s">
        <v>15</v>
      </c>
      <c r="D599">
        <v>0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  <c r="N599">
        <f t="shared" si="36"/>
        <v>2987</v>
      </c>
      <c r="O599" t="str">
        <f t="shared" si="37"/>
        <v>Medium</v>
      </c>
      <c r="P599" t="str">
        <f t="shared" si="38"/>
        <v>Rejected</v>
      </c>
      <c r="Q599" t="str">
        <f t="shared" si="39"/>
        <v>High Risk</v>
      </c>
    </row>
    <row r="600" spans="1:17" x14ac:dyDescent="0.3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  <c r="N600">
        <f t="shared" si="36"/>
        <v>9963</v>
      </c>
      <c r="O600" t="str">
        <f t="shared" si="37"/>
        <v>High</v>
      </c>
      <c r="P600" t="str">
        <f t="shared" si="38"/>
        <v>Approved</v>
      </c>
      <c r="Q600" t="str">
        <f t="shared" si="39"/>
        <v>Low Risk</v>
      </c>
    </row>
    <row r="601" spans="1:17" x14ac:dyDescent="0.3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  <c r="N601">
        <f t="shared" si="36"/>
        <v>5780</v>
      </c>
      <c r="O601" t="str">
        <f t="shared" si="37"/>
        <v>High</v>
      </c>
      <c r="P601" t="str">
        <f t="shared" si="38"/>
        <v>Approved</v>
      </c>
      <c r="Q601" t="str">
        <f t="shared" si="39"/>
        <v>Low Risk</v>
      </c>
    </row>
    <row r="602" spans="1:17" x14ac:dyDescent="0.3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K602">
        <v>1</v>
      </c>
      <c r="L602" t="s">
        <v>17</v>
      </c>
      <c r="M602" t="s">
        <v>22</v>
      </c>
      <c r="N602">
        <f t="shared" si="36"/>
        <v>42083</v>
      </c>
      <c r="O602" t="str">
        <f t="shared" si="37"/>
        <v>Very High</v>
      </c>
      <c r="P602" t="str">
        <f t="shared" si="38"/>
        <v>Rejected</v>
      </c>
      <c r="Q602" t="str">
        <f t="shared" si="39"/>
        <v>Low Risk</v>
      </c>
    </row>
    <row r="603" spans="1:17" x14ac:dyDescent="0.3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  <c r="N603">
        <f t="shared" si="36"/>
        <v>5686</v>
      </c>
      <c r="O603" t="str">
        <f t="shared" si="37"/>
        <v>High</v>
      </c>
      <c r="P603" t="str">
        <f t="shared" si="38"/>
        <v>Approved</v>
      </c>
      <c r="Q603" t="str">
        <f t="shared" si="39"/>
        <v>Low Risk</v>
      </c>
    </row>
    <row r="604" spans="1:17" x14ac:dyDescent="0.3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  <c r="N604">
        <f t="shared" si="36"/>
        <v>5703</v>
      </c>
      <c r="O604" t="str">
        <f t="shared" si="37"/>
        <v>High</v>
      </c>
      <c r="P604" t="str">
        <f t="shared" si="38"/>
        <v>Approved</v>
      </c>
      <c r="Q604" t="str">
        <f t="shared" si="39"/>
        <v>Low Risk</v>
      </c>
    </row>
    <row r="605" spans="1:17" x14ac:dyDescent="0.3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  <c r="N605">
        <f t="shared" si="36"/>
        <v>7977</v>
      </c>
      <c r="O605" t="str">
        <f t="shared" si="37"/>
        <v>High</v>
      </c>
      <c r="P605" t="str">
        <f t="shared" si="38"/>
        <v>Approved</v>
      </c>
      <c r="Q605" t="str">
        <f t="shared" si="39"/>
        <v>Low Risk</v>
      </c>
    </row>
    <row r="606" spans="1:17" x14ac:dyDescent="0.3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  <c r="N606">
        <f t="shared" si="36"/>
        <v>12000</v>
      </c>
      <c r="O606" t="str">
        <f t="shared" si="37"/>
        <v>Very High</v>
      </c>
      <c r="P606" t="str">
        <f t="shared" si="38"/>
        <v>Approved</v>
      </c>
      <c r="Q606" t="str">
        <f t="shared" si="39"/>
        <v>Low Risk</v>
      </c>
    </row>
    <row r="607" spans="1:17" x14ac:dyDescent="0.3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I607">
        <v>128</v>
      </c>
      <c r="J607">
        <v>180</v>
      </c>
      <c r="K607">
        <v>1</v>
      </c>
      <c r="L607" t="s">
        <v>17</v>
      </c>
      <c r="M607" t="s">
        <v>22</v>
      </c>
      <c r="N607">
        <f t="shared" si="36"/>
        <v>6200</v>
      </c>
      <c r="O607" t="str">
        <f t="shared" si="37"/>
        <v>High</v>
      </c>
      <c r="P607" t="str">
        <f t="shared" si="38"/>
        <v>Rejected</v>
      </c>
      <c r="Q607" t="str">
        <f t="shared" si="39"/>
        <v>Low Risk</v>
      </c>
    </row>
    <row r="608" spans="1:17" x14ac:dyDescent="0.3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  <c r="N608">
        <f t="shared" si="36"/>
        <v>5900</v>
      </c>
      <c r="O608" t="str">
        <f t="shared" si="37"/>
        <v>High</v>
      </c>
      <c r="P608" t="str">
        <f t="shared" si="38"/>
        <v>Approved</v>
      </c>
      <c r="Q608" t="str">
        <f t="shared" si="39"/>
        <v>Low Risk</v>
      </c>
    </row>
    <row r="609" spans="1:17" x14ac:dyDescent="0.3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  <c r="N609">
        <f t="shared" si="36"/>
        <v>5398</v>
      </c>
      <c r="O609" t="str">
        <f t="shared" si="37"/>
        <v>High</v>
      </c>
      <c r="P609" t="str">
        <f t="shared" si="38"/>
        <v>Approved</v>
      </c>
      <c r="Q609" t="str">
        <f t="shared" si="39"/>
        <v>Low Risk</v>
      </c>
    </row>
    <row r="610" spans="1:17" x14ac:dyDescent="0.3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  <c r="N610">
        <f t="shared" si="36"/>
        <v>5182</v>
      </c>
      <c r="O610" t="str">
        <f t="shared" si="37"/>
        <v>High</v>
      </c>
      <c r="P610" t="str">
        <f t="shared" si="38"/>
        <v>Approved</v>
      </c>
      <c r="Q610" t="str">
        <f t="shared" si="39"/>
        <v>Low Risk</v>
      </c>
    </row>
    <row r="611" spans="1:17" x14ac:dyDescent="0.3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  <c r="N611">
        <f t="shared" si="36"/>
        <v>2900</v>
      </c>
      <c r="O611" t="str">
        <f t="shared" si="37"/>
        <v>Medium</v>
      </c>
      <c r="P611" t="str">
        <f t="shared" si="38"/>
        <v>Approved</v>
      </c>
      <c r="Q611" t="str">
        <f t="shared" si="39"/>
        <v>Low Risk</v>
      </c>
    </row>
    <row r="612" spans="1:17" x14ac:dyDescent="0.3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  <c r="N612">
        <f t="shared" si="36"/>
        <v>4106</v>
      </c>
      <c r="O612" t="str">
        <f t="shared" si="37"/>
        <v>Medium</v>
      </c>
      <c r="P612" t="str">
        <f t="shared" si="38"/>
        <v>Approved</v>
      </c>
      <c r="Q612" t="str">
        <f t="shared" si="39"/>
        <v>Low Risk</v>
      </c>
    </row>
    <row r="613" spans="1:17" x14ac:dyDescent="0.3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  <c r="N613">
        <f t="shared" si="36"/>
        <v>8312</v>
      </c>
      <c r="O613" t="str">
        <f t="shared" si="37"/>
        <v>High</v>
      </c>
      <c r="P613" t="str">
        <f t="shared" si="38"/>
        <v>Approved</v>
      </c>
      <c r="Q613" t="str">
        <f t="shared" si="39"/>
        <v>Low Risk</v>
      </c>
    </row>
    <row r="614" spans="1:17" x14ac:dyDescent="0.3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  <c r="N614">
        <f t="shared" si="36"/>
        <v>7583</v>
      </c>
      <c r="O614" t="str">
        <f t="shared" si="37"/>
        <v>High</v>
      </c>
      <c r="P614" t="str">
        <f t="shared" si="38"/>
        <v>Approved</v>
      </c>
      <c r="Q614" t="str">
        <f t="shared" si="39"/>
        <v>Low Risk</v>
      </c>
    </row>
    <row r="615" spans="1:17" x14ac:dyDescent="0.3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  <c r="N615">
        <f t="shared" si="36"/>
        <v>4583</v>
      </c>
      <c r="O615" t="str">
        <f t="shared" si="37"/>
        <v>Medium</v>
      </c>
      <c r="P615" t="str">
        <f t="shared" si="38"/>
        <v>Rejected</v>
      </c>
      <c r="Q615" t="str">
        <f t="shared" si="39"/>
        <v>High Risk</v>
      </c>
    </row>
  </sheetData>
  <conditionalFormatting sqref="M1:M1048576">
    <cfRule type="containsText" dxfId="3" priority="3" operator="containsText" text="Y">
      <formula>NOT(ISERROR(SEARCH("Y",M1)))</formula>
    </cfRule>
    <cfRule type="containsText" dxfId="2" priority="2" operator="containsText" text="N">
      <formula>NOT(ISERROR(SEARCH("N",M1)))</formula>
    </cfRule>
  </conditionalFormatting>
  <conditionalFormatting sqref="K1:K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E8A8-EA45-402B-9A1B-A8DEBBA1364C}">
  <dimension ref="A1:D8"/>
  <sheetViews>
    <sheetView workbookViewId="0">
      <selection activeCell="F5" sqref="F5"/>
    </sheetView>
  </sheetViews>
  <sheetFormatPr defaultRowHeight="14.4" x14ac:dyDescent="0.3"/>
  <sheetData>
    <row r="1" spans="1:4" x14ac:dyDescent="0.3">
      <c r="A1" t="s">
        <v>639</v>
      </c>
      <c r="B1" t="s">
        <v>640</v>
      </c>
      <c r="C1" t="str">
        <f t="array" ref="C1">INDEX(Loan_Data!B2:B615,MATCH(MAX(COUNTIF(Loan_Data!B2:B615,Loan_Data!B2:B615)),COUNTIF(Loan_Data!B2:B615,Loan_Data!B2:B615),0))</f>
        <v>Male</v>
      </c>
      <c r="D1">
        <f t="array" ref="D1">MEDIAN(Loan_Data!I2:I615)</f>
        <v>128</v>
      </c>
    </row>
    <row r="2" spans="1:4" x14ac:dyDescent="0.3">
      <c r="A2" t="s">
        <v>1</v>
      </c>
      <c r="B2">
        <f>COUNTBLANK(Loan_Data!B2:B615)</f>
        <v>0</v>
      </c>
      <c r="C2" t="str">
        <f t="array" ref="C2">INDEX(Loan_Data!C2:C615,MATCH(MAX(COUNTIF(Loan_Data!C2:C615,Loan_Data!C2:C615)),COUNTIF(Loan_Data!C2:C615,Loan_Data!C2:C615),0))</f>
        <v>Yes</v>
      </c>
      <c r="D2">
        <f t="array" ref="D2">MEDIAN(Loan_Data!J2:J615)</f>
        <v>360</v>
      </c>
    </row>
    <row r="3" spans="1:4" x14ac:dyDescent="0.3">
      <c r="A3" t="s">
        <v>2</v>
      </c>
      <c r="B3">
        <f>COUNTBLANK(Loan_Data!C2:C615)</f>
        <v>0</v>
      </c>
      <c r="C3">
        <f t="array" ref="C3">INDEX(Loan_Data!D2:D615,MATCH(MAX(COUNTIF(Loan_Data!D2:D615,Loan_Data!D2:D615)),COUNTIF(Loan_Data!D2:D615,Loan_Data!D2:D615),0))</f>
        <v>0</v>
      </c>
      <c r="D3">
        <f t="array" ref="D3">INDEX(Loan_Data!K2:K615,MATCH(MAX(COUNTIF(Loan_Data!K2:K615,Loan_Data!K2:K615)),COUNTIF(Loan_Data!K2:K615,Loan_Data!K2:K615),0))</f>
        <v>1</v>
      </c>
    </row>
    <row r="4" spans="1:4" x14ac:dyDescent="0.3">
      <c r="A4" t="s">
        <v>3</v>
      </c>
      <c r="B4">
        <f>COUNTBLANK(Loan_Data!D2:D615)</f>
        <v>0</v>
      </c>
    </row>
    <row r="5" spans="1:4" x14ac:dyDescent="0.3">
      <c r="A5" t="s">
        <v>5</v>
      </c>
      <c r="B5">
        <f>COUNTBLANK(Loan_Data!G2:G615)</f>
        <v>0</v>
      </c>
    </row>
    <row r="6" spans="1:4" x14ac:dyDescent="0.3">
      <c r="A6" t="s">
        <v>8</v>
      </c>
      <c r="B6">
        <f>COUNTBLANK(Loan_Data!I2:I615)</f>
        <v>0</v>
      </c>
    </row>
    <row r="7" spans="1:4" x14ac:dyDescent="0.3">
      <c r="A7" t="s">
        <v>9</v>
      </c>
      <c r="B7">
        <f>COUNTBLANK(Loan_Data!J2:J615)</f>
        <v>0</v>
      </c>
    </row>
    <row r="8" spans="1:4" x14ac:dyDescent="0.3">
      <c r="A8" t="s">
        <v>10</v>
      </c>
      <c r="B8">
        <f>COUNTBLANK(Loan_Data!K2:K615)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C228-B192-4CBC-BB94-AA626E419DA1}">
  <dimension ref="A1:B8"/>
  <sheetViews>
    <sheetView workbookViewId="0">
      <selection activeCell="L20" sqref="L20"/>
    </sheetView>
  </sheetViews>
  <sheetFormatPr defaultRowHeight="14.4" x14ac:dyDescent="0.3"/>
  <sheetData>
    <row r="1" spans="1:2" x14ac:dyDescent="0.3">
      <c r="A1" t="s">
        <v>645</v>
      </c>
      <c r="B1">
        <f t="array" ref="B1">COUNTA(Loan_Data!A2:A615)</f>
        <v>614</v>
      </c>
    </row>
    <row r="2" spans="1:2" x14ac:dyDescent="0.3">
      <c r="A2" t="s">
        <v>646</v>
      </c>
      <c r="B2">
        <f t="array" ref="B2">COUNTIF(Loan_Data!M2:M615, "Y")</f>
        <v>422</v>
      </c>
    </row>
    <row r="3" spans="1:2" x14ac:dyDescent="0.3">
      <c r="A3" t="s">
        <v>648</v>
      </c>
      <c r="B3">
        <f t="array" ref="B3">COUNTIF(Loan_Data!M2:M615,"N")</f>
        <v>192</v>
      </c>
    </row>
    <row r="4" spans="1:2" x14ac:dyDescent="0.3">
      <c r="A4" t="s">
        <v>647</v>
      </c>
      <c r="B4" s="1">
        <f t="array" ref="B4">B2/B1*100</f>
        <v>68.729641693811075</v>
      </c>
    </row>
    <row r="5" spans="1:2" x14ac:dyDescent="0.3">
      <c r="A5" t="s">
        <v>649</v>
      </c>
      <c r="B5">
        <f t="array" ref="B5">AVERAGE(Loan_Data!I2:I615)</f>
        <v>145.75244299674267</v>
      </c>
    </row>
    <row r="6" spans="1:2" x14ac:dyDescent="0.3">
      <c r="A6" t="s">
        <v>650</v>
      </c>
      <c r="B6">
        <f t="array" ref="B6">AVERAGE(Loan_Data!G2:G615)</f>
        <v>5403.4592833876222</v>
      </c>
    </row>
    <row r="7" spans="1:2" x14ac:dyDescent="0.3">
      <c r="A7" t="s">
        <v>651</v>
      </c>
      <c r="B7" s="1">
        <f t="array" ref="B7">COUNTIF(Loan_Data!K2:K615,1)/B1*100</f>
        <v>85.504885993485345</v>
      </c>
    </row>
    <row r="8" spans="1:2" x14ac:dyDescent="0.3">
      <c r="A8" t="s">
        <v>652</v>
      </c>
      <c r="B8" s="1">
        <f t="array" ref="B8">COUNTIF(Loan_Data!F2:F615,"Yes")/B1*100</f>
        <v>13.355048859934854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CB52-E9A3-45BA-B6EC-40EB64D06B9D}">
  <dimension ref="A1:L13"/>
  <sheetViews>
    <sheetView workbookViewId="0">
      <selection activeCell="E20" sqref="E20"/>
    </sheetView>
  </sheetViews>
  <sheetFormatPr defaultRowHeight="14.4" x14ac:dyDescent="0.3"/>
  <cols>
    <col min="1" max="1" width="15.77734375" bestFit="1" customWidth="1"/>
    <col min="2" max="2" width="15.5546875" bestFit="1" customWidth="1"/>
    <col min="3" max="3" width="4" bestFit="1" customWidth="1"/>
    <col min="4" max="4" width="10.77734375" bestFit="1" customWidth="1"/>
    <col min="6" max="6" width="15.77734375" bestFit="1" customWidth="1"/>
    <col min="7" max="7" width="15.5546875" bestFit="1" customWidth="1"/>
    <col min="8" max="8" width="4" bestFit="1" customWidth="1"/>
    <col min="9" max="9" width="10.77734375" bestFit="1" customWidth="1"/>
    <col min="11" max="11" width="12.5546875" bestFit="1" customWidth="1"/>
    <col min="12" max="12" width="22.44140625" bestFit="1" customWidth="1"/>
  </cols>
  <sheetData>
    <row r="1" spans="1:12" x14ac:dyDescent="0.3">
      <c r="A1" s="2" t="s">
        <v>656</v>
      </c>
      <c r="B1" s="2" t="s">
        <v>655</v>
      </c>
      <c r="F1" s="2" t="s">
        <v>653</v>
      </c>
      <c r="G1" t="s">
        <v>657</v>
      </c>
      <c r="K1" s="2" t="s">
        <v>653</v>
      </c>
      <c r="L1" t="s">
        <v>660</v>
      </c>
    </row>
    <row r="2" spans="1:12" x14ac:dyDescent="0.3">
      <c r="A2" s="2" t="s">
        <v>653</v>
      </c>
      <c r="B2" t="s">
        <v>22</v>
      </c>
      <c r="C2" t="s">
        <v>18</v>
      </c>
      <c r="D2" t="s">
        <v>654</v>
      </c>
      <c r="F2" s="3" t="s">
        <v>21</v>
      </c>
      <c r="G2" s="4">
        <v>151.44692737430168</v>
      </c>
      <c r="K2" s="3" t="s">
        <v>658</v>
      </c>
      <c r="L2" s="4">
        <v>6888.5851184564917</v>
      </c>
    </row>
    <row r="3" spans="1:12" x14ac:dyDescent="0.3">
      <c r="A3" s="3" t="s">
        <v>16</v>
      </c>
      <c r="B3" s="4">
        <v>140</v>
      </c>
      <c r="C3" s="4">
        <v>340</v>
      </c>
      <c r="D3" s="4">
        <v>480</v>
      </c>
      <c r="F3" s="3" t="s">
        <v>31</v>
      </c>
      <c r="G3" s="4">
        <v>145.12875536480686</v>
      </c>
      <c r="K3" s="3" t="s">
        <v>659</v>
      </c>
      <c r="L3" s="4">
        <v>7323.885416666667</v>
      </c>
    </row>
    <row r="4" spans="1:12" x14ac:dyDescent="0.3">
      <c r="A4" s="3" t="s">
        <v>25</v>
      </c>
      <c r="B4" s="4">
        <v>52</v>
      </c>
      <c r="C4" s="4">
        <v>82</v>
      </c>
      <c r="D4" s="4">
        <v>134</v>
      </c>
      <c r="F4" s="3" t="s">
        <v>17</v>
      </c>
      <c r="G4" s="4">
        <v>141.42574257425741</v>
      </c>
      <c r="K4" s="3" t="s">
        <v>654</v>
      </c>
      <c r="L4" s="4">
        <v>7024.7050814147224</v>
      </c>
    </row>
    <row r="5" spans="1:12" x14ac:dyDescent="0.3">
      <c r="A5" s="3" t="s">
        <v>654</v>
      </c>
      <c r="B5" s="4">
        <v>192</v>
      </c>
      <c r="C5" s="4">
        <v>422</v>
      </c>
      <c r="D5" s="4">
        <v>614</v>
      </c>
      <c r="F5" s="3" t="s">
        <v>654</v>
      </c>
      <c r="G5" s="4">
        <v>145.75244299674267</v>
      </c>
    </row>
    <row r="8" spans="1:12" x14ac:dyDescent="0.3">
      <c r="A8" s="2" t="s">
        <v>656</v>
      </c>
      <c r="B8" s="2" t="s">
        <v>655</v>
      </c>
      <c r="F8" s="2" t="s">
        <v>656</v>
      </c>
      <c r="G8" s="2" t="s">
        <v>655</v>
      </c>
    </row>
    <row r="9" spans="1:12" x14ac:dyDescent="0.3">
      <c r="A9" s="2" t="s">
        <v>653</v>
      </c>
      <c r="B9" t="s">
        <v>22</v>
      </c>
      <c r="C9" t="s">
        <v>18</v>
      </c>
      <c r="D9" t="s">
        <v>654</v>
      </c>
      <c r="F9" s="2" t="s">
        <v>653</v>
      </c>
      <c r="G9" t="s">
        <v>22</v>
      </c>
      <c r="H9" t="s">
        <v>18</v>
      </c>
      <c r="I9" t="s">
        <v>654</v>
      </c>
    </row>
    <row r="10" spans="1:12" x14ac:dyDescent="0.3">
      <c r="A10" s="3" t="s">
        <v>21</v>
      </c>
      <c r="B10" s="4">
        <v>69</v>
      </c>
      <c r="C10" s="4">
        <v>110</v>
      </c>
      <c r="D10" s="4">
        <v>179</v>
      </c>
      <c r="F10" s="3">
        <v>0</v>
      </c>
      <c r="G10" s="4">
        <v>82</v>
      </c>
      <c r="H10" s="4">
        <v>7</v>
      </c>
      <c r="I10" s="4">
        <v>89</v>
      </c>
    </row>
    <row r="11" spans="1:12" x14ac:dyDescent="0.3">
      <c r="A11" s="3" t="s">
        <v>31</v>
      </c>
      <c r="B11" s="4">
        <v>54</v>
      </c>
      <c r="C11" s="4">
        <v>179</v>
      </c>
      <c r="D11" s="4">
        <v>233</v>
      </c>
      <c r="F11" s="3">
        <v>1</v>
      </c>
      <c r="G11" s="4">
        <v>110</v>
      </c>
      <c r="H11" s="4">
        <v>415</v>
      </c>
      <c r="I11" s="4">
        <v>525</v>
      </c>
    </row>
    <row r="12" spans="1:12" x14ac:dyDescent="0.3">
      <c r="A12" s="3" t="s">
        <v>17</v>
      </c>
      <c r="B12" s="4">
        <v>69</v>
      </c>
      <c r="C12" s="4">
        <v>133</v>
      </c>
      <c r="D12" s="4">
        <v>202</v>
      </c>
      <c r="F12" s="3" t="s">
        <v>654</v>
      </c>
      <c r="G12" s="4">
        <v>192</v>
      </c>
      <c r="H12" s="4">
        <v>422</v>
      </c>
      <c r="I12" s="4">
        <v>614</v>
      </c>
    </row>
    <row r="13" spans="1:12" x14ac:dyDescent="0.3">
      <c r="A13" s="3" t="s">
        <v>654</v>
      </c>
      <c r="B13" s="4">
        <v>192</v>
      </c>
      <c r="C13" s="4">
        <v>422</v>
      </c>
      <c r="D13" s="4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Loan_Data</vt:lpstr>
      <vt:lpstr>Data_Quality</vt:lpstr>
      <vt:lpstr>KPIs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 Kumar Pal</cp:lastModifiedBy>
  <dcterms:created xsi:type="dcterms:W3CDTF">2026-07-20T09:18:33Z</dcterms:created>
  <dcterms:modified xsi:type="dcterms:W3CDTF">2026-07-22T10:03:22Z</dcterms:modified>
</cp:coreProperties>
</file>